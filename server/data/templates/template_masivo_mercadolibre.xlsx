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600" windowWidth="24615" windowHeight="11955" activeTab="2"/>
  </bookViews>
  <sheets>
    <sheet name="Ayuda" sheetId="1" r:id="rId1"/>
    <sheet name="extra info" sheetId="2" state="veryHidden" r:id="rId2"/>
    <sheet name="Bombas de Aceite" sheetId="3" r:id="rId3"/>
  </sheets>
  <calcPr calcId="144525"/>
  <extLst>
    <ext uri="GoogleSheetsCustomDataVersion2">
      <go:sheetsCustomData xmlns:go="http://customooxmlschemas.google.com/" r:id="" roundtripDataChecksum="Mmqx9M+qHMPNriinI60PnCr+iT32+8N3ThKeiVtRU8E="/>
    </ext>
  </extLst>
</workbook>
</file>

<file path=xl/calcChain.xml><?xml version="1.0" encoding="utf-8"?>
<calcChain xmlns="http://schemas.openxmlformats.org/spreadsheetml/2006/main">
  <c r="I79" i="1" l="1"/>
  <c r="I70" i="1"/>
  <c r="I57" i="1"/>
  <c r="I50" i="1"/>
  <c r="I33" i="1"/>
  <c r="I10" i="1"/>
  <c r="AA1001" i="3"/>
  <c r="Z1001" i="3"/>
  <c r="B1000" i="3"/>
  <c r="L998" i="3"/>
  <c r="AA996" i="3"/>
  <c r="J995" i="3"/>
  <c r="B992" i="3"/>
  <c r="L990" i="3"/>
  <c r="AA988" i="3"/>
  <c r="J987" i="3"/>
  <c r="B984" i="3"/>
  <c r="L982" i="3"/>
  <c r="AA980" i="3"/>
  <c r="J979" i="3"/>
  <c r="B976" i="3"/>
  <c r="L974" i="3"/>
  <c r="AA972" i="3"/>
  <c r="J971" i="3"/>
  <c r="B968" i="3"/>
  <c r="L966" i="3"/>
  <c r="AA964" i="3"/>
  <c r="J963" i="3"/>
  <c r="B960" i="3"/>
  <c r="L958" i="3"/>
  <c r="AA956" i="3"/>
  <c r="J955" i="3"/>
  <c r="B952" i="3"/>
  <c r="L950" i="3"/>
  <c r="AA948" i="3"/>
  <c r="J947" i="3"/>
  <c r="L1001" i="3"/>
  <c r="AA999" i="3"/>
  <c r="J998" i="3"/>
  <c r="Z996" i="3"/>
  <c r="B995" i="3"/>
  <c r="L993" i="3"/>
  <c r="AA991" i="3"/>
  <c r="J990" i="3"/>
  <c r="Z988" i="3"/>
  <c r="B987" i="3"/>
  <c r="L985" i="3"/>
  <c r="AA983" i="3"/>
  <c r="J982" i="3"/>
  <c r="Z980" i="3"/>
  <c r="B979" i="3"/>
  <c r="L977" i="3"/>
  <c r="AA975" i="3"/>
  <c r="J974" i="3"/>
  <c r="Z972" i="3"/>
  <c r="B971" i="3"/>
  <c r="L969" i="3"/>
  <c r="AA967" i="3"/>
  <c r="J966" i="3"/>
  <c r="Z964" i="3"/>
  <c r="B963" i="3"/>
  <c r="L961" i="3"/>
  <c r="AA959" i="3"/>
  <c r="J958" i="3"/>
  <c r="Z956" i="3"/>
  <c r="B955" i="3"/>
  <c r="L953" i="3"/>
  <c r="AA951" i="3"/>
  <c r="J950" i="3"/>
  <c r="Z948" i="3"/>
  <c r="B947" i="3"/>
  <c r="L945" i="3"/>
  <c r="AA943" i="3"/>
  <c r="J942" i="3"/>
  <c r="B939" i="3"/>
  <c r="L937" i="3"/>
  <c r="AA935" i="3"/>
  <c r="J934" i="3"/>
  <c r="B931" i="3"/>
  <c r="L929" i="3"/>
  <c r="AA927" i="3"/>
  <c r="J926" i="3"/>
  <c r="B923" i="3"/>
  <c r="L921" i="3"/>
  <c r="AA919" i="3"/>
  <c r="J918" i="3"/>
  <c r="B915" i="3"/>
  <c r="L913" i="3"/>
  <c r="AA911" i="3"/>
  <c r="J910" i="3"/>
  <c r="B907" i="3"/>
  <c r="L905" i="3"/>
  <c r="AA903" i="3"/>
  <c r="J902" i="3"/>
  <c r="B899" i="3"/>
  <c r="L897" i="3"/>
  <c r="AA895" i="3"/>
  <c r="J894" i="3"/>
  <c r="B891" i="3"/>
  <c r="L889" i="3"/>
  <c r="AA887" i="3"/>
  <c r="J886" i="3"/>
  <c r="B883" i="3"/>
  <c r="L881" i="3"/>
  <c r="AA879" i="3"/>
  <c r="J878" i="3"/>
  <c r="B875" i="3"/>
  <c r="L873" i="3"/>
  <c r="AA871" i="3"/>
  <c r="J870" i="3"/>
  <c r="B867" i="3"/>
  <c r="L865" i="3"/>
  <c r="AA863" i="3"/>
  <c r="J862" i="3"/>
  <c r="B859" i="3"/>
  <c r="L857" i="3"/>
  <c r="AA855" i="3"/>
  <c r="J854" i="3"/>
  <c r="B851" i="3"/>
  <c r="L849" i="3"/>
  <c r="AA847" i="3"/>
  <c r="J846" i="3"/>
  <c r="B843" i="3"/>
  <c r="L841" i="3"/>
  <c r="AA839" i="3"/>
  <c r="J838" i="3"/>
  <c r="B835" i="3"/>
  <c r="L833" i="3"/>
  <c r="AA831" i="3"/>
  <c r="J830" i="3"/>
  <c r="B827" i="3"/>
  <c r="L825" i="3"/>
  <c r="AA823" i="3"/>
  <c r="J822" i="3"/>
  <c r="B819" i="3"/>
  <c r="L817" i="3"/>
  <c r="AA815" i="3"/>
  <c r="J814" i="3"/>
  <c r="B811" i="3"/>
  <c r="L809" i="3"/>
  <c r="AA807" i="3"/>
  <c r="J806" i="3"/>
  <c r="B803" i="3"/>
  <c r="L801" i="3"/>
  <c r="AA799" i="3"/>
  <c r="J1001" i="3"/>
  <c r="B1001" i="3"/>
  <c r="L999" i="3"/>
  <c r="AA997" i="3"/>
  <c r="J996" i="3"/>
  <c r="B993" i="3"/>
  <c r="L991" i="3"/>
  <c r="AA989" i="3"/>
  <c r="J988" i="3"/>
  <c r="B985" i="3"/>
  <c r="L983" i="3"/>
  <c r="AA981" i="3"/>
  <c r="J980" i="3"/>
  <c r="B977" i="3"/>
  <c r="L975" i="3"/>
  <c r="AA973" i="3"/>
  <c r="J972" i="3"/>
  <c r="B969" i="3"/>
  <c r="L967" i="3"/>
  <c r="AA965" i="3"/>
  <c r="J964" i="3"/>
  <c r="B961" i="3"/>
  <c r="L959" i="3"/>
  <c r="AA957" i="3"/>
  <c r="J956" i="3"/>
  <c r="B953" i="3"/>
  <c r="L951" i="3"/>
  <c r="AA949" i="3"/>
  <c r="J948" i="3"/>
  <c r="B945" i="3"/>
  <c r="L943" i="3"/>
  <c r="AA941" i="3"/>
  <c r="J940" i="3"/>
  <c r="B937" i="3"/>
  <c r="L935" i="3"/>
  <c r="AA933" i="3"/>
  <c r="J932" i="3"/>
  <c r="B929" i="3"/>
  <c r="L927" i="3"/>
  <c r="AA925" i="3"/>
  <c r="J924" i="3"/>
  <c r="B921" i="3"/>
  <c r="L919" i="3"/>
  <c r="AA917" i="3"/>
  <c r="J916" i="3"/>
  <c r="B913" i="3"/>
  <c r="L911" i="3"/>
  <c r="AA909" i="3"/>
  <c r="J908" i="3"/>
  <c r="B905" i="3"/>
  <c r="L903" i="3"/>
  <c r="AA901" i="3"/>
  <c r="J900" i="3"/>
  <c r="B897" i="3"/>
  <c r="L895" i="3"/>
  <c r="AA893" i="3"/>
  <c r="J892" i="3"/>
  <c r="B889" i="3"/>
  <c r="L887" i="3"/>
  <c r="AA885" i="3"/>
  <c r="J884" i="3"/>
  <c r="B881" i="3"/>
  <c r="L879" i="3"/>
  <c r="AA877" i="3"/>
  <c r="J876" i="3"/>
  <c r="B873" i="3"/>
  <c r="L871" i="3"/>
  <c r="AA869" i="3"/>
  <c r="J868" i="3"/>
  <c r="B865" i="3"/>
  <c r="L863" i="3"/>
  <c r="AA861" i="3"/>
  <c r="J860" i="3"/>
  <c r="AA1000" i="3"/>
  <c r="Z1000" i="3"/>
  <c r="B999" i="3"/>
  <c r="L997" i="3"/>
  <c r="AA995" i="3"/>
  <c r="J994" i="3"/>
  <c r="B991" i="3"/>
  <c r="L989" i="3"/>
  <c r="AA987" i="3"/>
  <c r="J986" i="3"/>
  <c r="B983" i="3"/>
  <c r="L981" i="3"/>
  <c r="AA979" i="3"/>
  <c r="J978" i="3"/>
  <c r="B975" i="3"/>
  <c r="L973" i="3"/>
  <c r="AA971" i="3"/>
  <c r="J970" i="3"/>
  <c r="B967" i="3"/>
  <c r="L965" i="3"/>
  <c r="AA963" i="3"/>
  <c r="J962" i="3"/>
  <c r="B959" i="3"/>
  <c r="L957" i="3"/>
  <c r="AA955" i="3"/>
  <c r="J954" i="3"/>
  <c r="B951" i="3"/>
  <c r="L949" i="3"/>
  <c r="AA947" i="3"/>
  <c r="J946" i="3"/>
  <c r="B943" i="3"/>
  <c r="L941" i="3"/>
  <c r="AA939" i="3"/>
  <c r="J938" i="3"/>
  <c r="B935" i="3"/>
  <c r="L933" i="3"/>
  <c r="AA931" i="3"/>
  <c r="J930" i="3"/>
  <c r="B927" i="3"/>
  <c r="L925" i="3"/>
  <c r="AA923" i="3"/>
  <c r="J922" i="3"/>
  <c r="B919" i="3"/>
  <c r="L917" i="3"/>
  <c r="AA915" i="3"/>
  <c r="J914" i="3"/>
  <c r="B911" i="3"/>
  <c r="L909" i="3"/>
  <c r="AA907" i="3"/>
  <c r="J906" i="3"/>
  <c r="B903" i="3"/>
  <c r="L901" i="3"/>
  <c r="AA899" i="3"/>
  <c r="J898" i="3"/>
  <c r="B895" i="3"/>
  <c r="L893" i="3"/>
  <c r="AA891" i="3"/>
  <c r="J890" i="3"/>
  <c r="B887" i="3"/>
  <c r="L885" i="3"/>
  <c r="AA883" i="3"/>
  <c r="J882" i="3"/>
  <c r="B879" i="3"/>
  <c r="L877" i="3"/>
  <c r="AA875" i="3"/>
  <c r="J874" i="3"/>
  <c r="B871" i="3"/>
  <c r="L869" i="3"/>
  <c r="AA867" i="3"/>
  <c r="J866" i="3"/>
  <c r="B863" i="3"/>
  <c r="L861" i="3"/>
  <c r="AA859" i="3"/>
  <c r="J858" i="3"/>
  <c r="B855" i="3"/>
  <c r="L853" i="3"/>
  <c r="AA851" i="3"/>
  <c r="J850" i="3"/>
  <c r="B847" i="3"/>
  <c r="L845" i="3"/>
  <c r="AA843" i="3"/>
  <c r="J842" i="3"/>
  <c r="B839" i="3"/>
  <c r="L837" i="3"/>
  <c r="AA835" i="3"/>
  <c r="J834" i="3"/>
  <c r="B831" i="3"/>
  <c r="L829" i="3"/>
  <c r="AA827" i="3"/>
  <c r="J826" i="3"/>
  <c r="B823" i="3"/>
  <c r="L821" i="3"/>
  <c r="AA819" i="3"/>
  <c r="J818" i="3"/>
  <c r="L1000" i="3"/>
  <c r="AA998" i="3"/>
  <c r="J997" i="3"/>
  <c r="Z995" i="3"/>
  <c r="B994" i="3"/>
  <c r="L992" i="3"/>
  <c r="AA990" i="3"/>
  <c r="J989" i="3"/>
  <c r="Z987" i="3"/>
  <c r="B986" i="3"/>
  <c r="L984" i="3"/>
  <c r="AA982" i="3"/>
  <c r="J981" i="3"/>
  <c r="Z979" i="3"/>
  <c r="B978" i="3"/>
  <c r="L976" i="3"/>
  <c r="AA974" i="3"/>
  <c r="J973" i="3"/>
  <c r="Z971" i="3"/>
  <c r="B970" i="3"/>
  <c r="L968" i="3"/>
  <c r="AA966" i="3"/>
  <c r="J965" i="3"/>
  <c r="Z963" i="3"/>
  <c r="B962" i="3"/>
  <c r="L960" i="3"/>
  <c r="AA958" i="3"/>
  <c r="J957" i="3"/>
  <c r="Z955" i="3"/>
  <c r="B954" i="3"/>
  <c r="L952" i="3"/>
  <c r="AA950" i="3"/>
  <c r="J949" i="3"/>
  <c r="Z947" i="3"/>
  <c r="B946" i="3"/>
  <c r="L944" i="3"/>
  <c r="AA942" i="3"/>
  <c r="J941" i="3"/>
  <c r="Z939" i="3"/>
  <c r="B938" i="3"/>
  <c r="L936" i="3"/>
  <c r="AA934" i="3"/>
  <c r="J933" i="3"/>
  <c r="Z931" i="3"/>
  <c r="B930" i="3"/>
  <c r="L928" i="3"/>
  <c r="AA926" i="3"/>
  <c r="J925" i="3"/>
  <c r="Z923" i="3"/>
  <c r="B922" i="3"/>
  <c r="L920" i="3"/>
  <c r="AA918" i="3"/>
  <c r="J917" i="3"/>
  <c r="Z915" i="3"/>
  <c r="B914" i="3"/>
  <c r="L912" i="3"/>
  <c r="AA910" i="3"/>
  <c r="J909" i="3"/>
  <c r="Z907" i="3"/>
  <c r="B906" i="3"/>
  <c r="L904" i="3"/>
  <c r="AA902" i="3"/>
  <c r="J901" i="3"/>
  <c r="Z899" i="3"/>
  <c r="B898" i="3"/>
  <c r="L896" i="3"/>
  <c r="AA894" i="3"/>
  <c r="J893" i="3"/>
  <c r="Z891" i="3"/>
  <c r="B890" i="3"/>
  <c r="L888" i="3"/>
  <c r="AA886" i="3"/>
  <c r="J885" i="3"/>
  <c r="Z883" i="3"/>
  <c r="B882" i="3"/>
  <c r="L880" i="3"/>
  <c r="AA878" i="3"/>
  <c r="J877" i="3"/>
  <c r="Z875" i="3"/>
  <c r="B874" i="3"/>
  <c r="L872" i="3"/>
  <c r="AA870" i="3"/>
  <c r="J869" i="3"/>
  <c r="Z867" i="3"/>
  <c r="B866" i="3"/>
  <c r="L864" i="3"/>
  <c r="AA862" i="3"/>
  <c r="J861" i="3"/>
  <c r="Z859" i="3"/>
  <c r="B858" i="3"/>
  <c r="L856" i="3"/>
  <c r="AA854" i="3"/>
  <c r="J853" i="3"/>
  <c r="Z851" i="3"/>
  <c r="B850" i="3"/>
  <c r="L848" i="3"/>
  <c r="AA846" i="3"/>
  <c r="J845" i="3"/>
  <c r="Z843" i="3"/>
  <c r="B842" i="3"/>
  <c r="L840" i="3"/>
  <c r="AA838" i="3"/>
  <c r="J837" i="3"/>
  <c r="Z835" i="3"/>
  <c r="B834" i="3"/>
  <c r="L832" i="3"/>
  <c r="AA830" i="3"/>
  <c r="J829" i="3"/>
  <c r="Z827" i="3"/>
  <c r="B826" i="3"/>
  <c r="L824" i="3"/>
  <c r="AA822" i="3"/>
  <c r="J821" i="3"/>
  <c r="Z819" i="3"/>
  <c r="B818" i="3"/>
  <c r="L816" i="3"/>
  <c r="AA814" i="3"/>
  <c r="J813" i="3"/>
  <c r="B810" i="3"/>
  <c r="L808" i="3"/>
  <c r="AA806" i="3"/>
  <c r="J805" i="3"/>
  <c r="B802" i="3"/>
  <c r="L800" i="3"/>
  <c r="AA798" i="3"/>
  <c r="J1000" i="3"/>
  <c r="B996" i="3"/>
  <c r="Z991" i="3"/>
  <c r="L987" i="3"/>
  <c r="J983" i="3"/>
  <c r="AA978" i="3"/>
  <c r="Z978" i="3" s="1"/>
  <c r="Z974" i="3"/>
  <c r="L970" i="3"/>
  <c r="B966" i="3"/>
  <c r="AA961" i="3"/>
  <c r="Z961" i="3" s="1"/>
  <c r="Z957" i="3"/>
  <c r="J953" i="3"/>
  <c r="B949" i="3"/>
  <c r="J945" i="3"/>
  <c r="B942" i="3"/>
  <c r="AA938" i="3"/>
  <c r="Z938" i="3" s="1"/>
  <c r="Z935" i="3"/>
  <c r="L932" i="3"/>
  <c r="J929" i="3"/>
  <c r="B926" i="3"/>
  <c r="AA922" i="3"/>
  <c r="Z922" i="3" s="1"/>
  <c r="Z919" i="3"/>
  <c r="L916" i="3"/>
  <c r="J913" i="3"/>
  <c r="B910" i="3"/>
  <c r="AA906" i="3"/>
  <c r="Z906" i="3" s="1"/>
  <c r="Z903" i="3"/>
  <c r="L900" i="3"/>
  <c r="J897" i="3"/>
  <c r="B894" i="3"/>
  <c r="AA890" i="3"/>
  <c r="Z890" i="3" s="1"/>
  <c r="Z887" i="3"/>
  <c r="L884" i="3"/>
  <c r="J881" i="3"/>
  <c r="B878" i="3"/>
  <c r="AA874" i="3"/>
  <c r="Z874" i="3" s="1"/>
  <c r="Z871" i="3"/>
  <c r="L868" i="3"/>
  <c r="J865" i="3"/>
  <c r="B862" i="3"/>
  <c r="AA858" i="3"/>
  <c r="Z858" i="3" s="1"/>
  <c r="B856" i="3"/>
  <c r="AA850" i="3"/>
  <c r="J848" i="3"/>
  <c r="AA845" i="3"/>
  <c r="J843" i="3"/>
  <c r="AA840" i="3"/>
  <c r="Z840" i="3" s="1"/>
  <c r="B838" i="3"/>
  <c r="L835" i="3"/>
  <c r="B833" i="3"/>
  <c r="L830" i="3"/>
  <c r="B828" i="3"/>
  <c r="J825" i="3"/>
  <c r="Z822" i="3"/>
  <c r="J820" i="3"/>
  <c r="L815" i="3"/>
  <c r="L813" i="3"/>
  <c r="J811" i="3"/>
  <c r="B809" i="3"/>
  <c r="B807" i="3"/>
  <c r="AA804" i="3"/>
  <c r="Z804" i="3" s="1"/>
  <c r="L798" i="3"/>
  <c r="AA796" i="3"/>
  <c r="J795" i="3"/>
  <c r="B792" i="3"/>
  <c r="L790" i="3"/>
  <c r="AA788" i="3"/>
  <c r="J787" i="3"/>
  <c r="B784" i="3"/>
  <c r="L782" i="3"/>
  <c r="AA780" i="3"/>
  <c r="J779" i="3"/>
  <c r="B776" i="3"/>
  <c r="L774" i="3"/>
  <c r="AA772" i="3"/>
  <c r="J771" i="3"/>
  <c r="B768" i="3"/>
  <c r="L766" i="3"/>
  <c r="AA764" i="3"/>
  <c r="J763" i="3"/>
  <c r="B760" i="3"/>
  <c r="L758" i="3"/>
  <c r="AA756" i="3"/>
  <c r="J755" i="3"/>
  <c r="B752" i="3"/>
  <c r="L750" i="3"/>
  <c r="AA748" i="3"/>
  <c r="J747" i="3"/>
  <c r="B744" i="3"/>
  <c r="L742" i="3"/>
  <c r="AA740" i="3"/>
  <c r="J739" i="3"/>
  <c r="B736" i="3"/>
  <c r="L734" i="3"/>
  <c r="AA732" i="3"/>
  <c r="J731" i="3"/>
  <c r="B728" i="3"/>
  <c r="L726" i="3"/>
  <c r="AA724" i="3"/>
  <c r="J723" i="3"/>
  <c r="B720" i="3"/>
  <c r="L718" i="3"/>
  <c r="AA716" i="3"/>
  <c r="J715" i="3"/>
  <c r="Z999" i="3"/>
  <c r="L995" i="3"/>
  <c r="J991" i="3"/>
  <c r="AA986" i="3"/>
  <c r="Z986" i="3" s="1"/>
  <c r="Z982" i="3"/>
  <c r="L978" i="3"/>
  <c r="B974" i="3"/>
  <c r="AA969" i="3"/>
  <c r="Z969" i="3" s="1"/>
  <c r="Z965" i="3"/>
  <c r="J961" i="3"/>
  <c r="B957" i="3"/>
  <c r="AA952" i="3"/>
  <c r="Z952" i="3" s="1"/>
  <c r="L948" i="3"/>
  <c r="AA944" i="3"/>
  <c r="Z944" i="3" s="1"/>
  <c r="Z941" i="3"/>
  <c r="L938" i="3"/>
  <c r="J935" i="3"/>
  <c r="B932" i="3"/>
  <c r="AA928" i="3"/>
  <c r="Z928" i="3" s="1"/>
  <c r="Z925" i="3"/>
  <c r="L922" i="3"/>
  <c r="J919" i="3"/>
  <c r="B916" i="3"/>
  <c r="AA912" i="3"/>
  <c r="Z912" i="3" s="1"/>
  <c r="Z909" i="3"/>
  <c r="L906" i="3"/>
  <c r="J903" i="3"/>
  <c r="B900" i="3"/>
  <c r="AA896" i="3"/>
  <c r="Z896" i="3" s="1"/>
  <c r="Z893" i="3"/>
  <c r="L890" i="3"/>
  <c r="J887" i="3"/>
  <c r="B884" i="3"/>
  <c r="AA880" i="3"/>
  <c r="Z880" i="3" s="1"/>
  <c r="Z877" i="3"/>
  <c r="L874" i="3"/>
  <c r="J871" i="3"/>
  <c r="B868" i="3"/>
  <c r="AA864" i="3"/>
  <c r="Z864" i="3" s="1"/>
  <c r="Z861" i="3"/>
  <c r="L858" i="3"/>
  <c r="Z855" i="3"/>
  <c r="B853" i="3"/>
  <c r="Z850" i="3"/>
  <c r="B848" i="3"/>
  <c r="Z845" i="3"/>
  <c r="AA842" i="3"/>
  <c r="J840" i="3"/>
  <c r="AA837" i="3"/>
  <c r="J835" i="3"/>
  <c r="AA832" i="3"/>
  <c r="Z832" i="3" s="1"/>
  <c r="B830" i="3"/>
  <c r="L827" i="3"/>
  <c r="B825" i="3"/>
  <c r="L822" i="3"/>
  <c r="B820" i="3"/>
  <c r="J817" i="3"/>
  <c r="J815" i="3"/>
  <c r="B813" i="3"/>
  <c r="AA810" i="3"/>
  <c r="AA808" i="3"/>
  <c r="Z806" i="3"/>
  <c r="L804" i="3"/>
  <c r="L802" i="3"/>
  <c r="J800" i="3"/>
  <c r="J798" i="3"/>
  <c r="Z796" i="3"/>
  <c r="B795" i="3"/>
  <c r="L793" i="3"/>
  <c r="AA791" i="3"/>
  <c r="J790" i="3"/>
  <c r="Z788" i="3"/>
  <c r="B787" i="3"/>
  <c r="L785" i="3"/>
  <c r="AA783" i="3"/>
  <c r="J782" i="3"/>
  <c r="Z780" i="3"/>
  <c r="B779" i="3"/>
  <c r="L777" i="3"/>
  <c r="AA775" i="3"/>
  <c r="J774" i="3"/>
  <c r="Z772" i="3"/>
  <c r="B771" i="3"/>
  <c r="L769" i="3"/>
  <c r="AA767" i="3"/>
  <c r="J766" i="3"/>
  <c r="Z764" i="3"/>
  <c r="B763" i="3"/>
  <c r="L761" i="3"/>
  <c r="AA759" i="3"/>
  <c r="J758" i="3"/>
  <c r="Z756" i="3"/>
  <c r="B755" i="3"/>
  <c r="L753" i="3"/>
  <c r="AA751" i="3"/>
  <c r="J750" i="3"/>
  <c r="Z748" i="3"/>
  <c r="B747" i="3"/>
  <c r="L745" i="3"/>
  <c r="AA743" i="3"/>
  <c r="J742" i="3"/>
  <c r="Z740" i="3"/>
  <c r="B739" i="3"/>
  <c r="L737" i="3"/>
  <c r="AA735" i="3"/>
  <c r="J734" i="3"/>
  <c r="Z732" i="3"/>
  <c r="B731" i="3"/>
  <c r="L729" i="3"/>
  <c r="AA727" i="3"/>
  <c r="J726" i="3"/>
  <c r="Z724" i="3"/>
  <c r="B723" i="3"/>
  <c r="L721" i="3"/>
  <c r="AA719" i="3"/>
  <c r="J718" i="3"/>
  <c r="Z716" i="3"/>
  <c r="B715" i="3"/>
  <c r="L713" i="3"/>
  <c r="AA711" i="3"/>
  <c r="J999" i="3"/>
  <c r="AA994" i="3"/>
  <c r="Z994" i="3" s="1"/>
  <c r="Z990" i="3"/>
  <c r="L986" i="3"/>
  <c r="B982" i="3"/>
  <c r="AA977" i="3"/>
  <c r="Z977" i="3" s="1"/>
  <c r="Z973" i="3"/>
  <c r="J969" i="3"/>
  <c r="B965" i="3"/>
  <c r="AA960" i="3"/>
  <c r="Z960" i="3" s="1"/>
  <c r="L956" i="3"/>
  <c r="J952" i="3"/>
  <c r="B948" i="3"/>
  <c r="J944" i="3"/>
  <c r="B941" i="3"/>
  <c r="AA937" i="3"/>
  <c r="Z934" i="3"/>
  <c r="L931" i="3"/>
  <c r="J928" i="3"/>
  <c r="B925" i="3"/>
  <c r="AA921" i="3"/>
  <c r="Z918" i="3"/>
  <c r="L915" i="3"/>
  <c r="J912" i="3"/>
  <c r="B909" i="3"/>
  <c r="AA905" i="3"/>
  <c r="Z902" i="3"/>
  <c r="L899" i="3"/>
  <c r="J896" i="3"/>
  <c r="B893" i="3"/>
  <c r="AA889" i="3"/>
  <c r="Z886" i="3"/>
  <c r="L883" i="3"/>
  <c r="J880" i="3"/>
  <c r="B877" i="3"/>
  <c r="AA873" i="3"/>
  <c r="Z870" i="3"/>
  <c r="L867" i="3"/>
  <c r="J864" i="3"/>
  <c r="B861" i="3"/>
  <c r="AA857" i="3"/>
  <c r="L855" i="3"/>
  <c r="AA852" i="3"/>
  <c r="Z852" i="3" s="1"/>
  <c r="L850" i="3"/>
  <c r="Z847" i="3"/>
  <c r="B845" i="3"/>
  <c r="Z842" i="3"/>
  <c r="B840" i="3"/>
  <c r="Z837" i="3"/>
  <c r="AA834" i="3"/>
  <c r="J832" i="3"/>
  <c r="AA829" i="3"/>
  <c r="J827" i="3"/>
  <c r="AA824" i="3"/>
  <c r="Z824" i="3" s="1"/>
  <c r="B822" i="3"/>
  <c r="L819" i="3"/>
  <c r="B817" i="3"/>
  <c r="B815" i="3"/>
  <c r="AA812" i="3"/>
  <c r="Z812" i="3" s="1"/>
  <c r="Z810" i="3"/>
  <c r="Z808" i="3"/>
  <c r="L806" i="3"/>
  <c r="J804" i="3"/>
  <c r="J802" i="3"/>
  <c r="B800" i="3"/>
  <c r="B798" i="3"/>
  <c r="L796" i="3"/>
  <c r="AA794" i="3"/>
  <c r="J793" i="3"/>
  <c r="Z791" i="3"/>
  <c r="B790" i="3"/>
  <c r="L788" i="3"/>
  <c r="AA786" i="3"/>
  <c r="J785" i="3"/>
  <c r="Z783" i="3"/>
  <c r="B782" i="3"/>
  <c r="L780" i="3"/>
  <c r="AA778" i="3"/>
  <c r="J777" i="3"/>
  <c r="Z775" i="3"/>
  <c r="B774" i="3"/>
  <c r="L772" i="3"/>
  <c r="AA770" i="3"/>
  <c r="J769" i="3"/>
  <c r="Z767" i="3"/>
  <c r="B766" i="3"/>
  <c r="L764" i="3"/>
  <c r="AA762" i="3"/>
  <c r="J761" i="3"/>
  <c r="Z759" i="3"/>
  <c r="B758" i="3"/>
  <c r="L756" i="3"/>
  <c r="AA754" i="3"/>
  <c r="J753" i="3"/>
  <c r="Z751" i="3"/>
  <c r="B750" i="3"/>
  <c r="L748" i="3"/>
  <c r="AA746" i="3"/>
  <c r="J745" i="3"/>
  <c r="Z743" i="3"/>
  <c r="B742" i="3"/>
  <c r="L740" i="3"/>
  <c r="AA738" i="3"/>
  <c r="J737" i="3"/>
  <c r="Z735" i="3"/>
  <c r="B734" i="3"/>
  <c r="L732" i="3"/>
  <c r="AA730" i="3"/>
  <c r="J729" i="3"/>
  <c r="Z727" i="3"/>
  <c r="B726" i="3"/>
  <c r="L724" i="3"/>
  <c r="Z998" i="3"/>
  <c r="L994" i="3"/>
  <c r="B990" i="3"/>
  <c r="AA985" i="3"/>
  <c r="Z985" i="3" s="1"/>
  <c r="Z981" i="3"/>
  <c r="J977" i="3"/>
  <c r="B973" i="3"/>
  <c r="AA968" i="3"/>
  <c r="Z968" i="3" s="1"/>
  <c r="L964" i="3"/>
  <c r="J960" i="3"/>
  <c r="B956" i="3"/>
  <c r="Z951" i="3"/>
  <c r="L947" i="3"/>
  <c r="B944" i="3"/>
  <c r="AA940" i="3"/>
  <c r="Z940" i="3" s="1"/>
  <c r="Z937" i="3"/>
  <c r="L934" i="3"/>
  <c r="J931" i="3"/>
  <c r="B928" i="3"/>
  <c r="AA924" i="3"/>
  <c r="Z924" i="3" s="1"/>
  <c r="Z921" i="3"/>
  <c r="L918" i="3"/>
  <c r="J915" i="3"/>
  <c r="B912" i="3"/>
  <c r="AA908" i="3"/>
  <c r="Z908" i="3" s="1"/>
  <c r="Z905" i="3"/>
  <c r="L902" i="3"/>
  <c r="J899" i="3"/>
  <c r="B896" i="3"/>
  <c r="AA892" i="3"/>
  <c r="Z892" i="3" s="1"/>
  <c r="Z889" i="3"/>
  <c r="L886" i="3"/>
  <c r="J883" i="3"/>
  <c r="B880" i="3"/>
  <c r="AA876" i="3"/>
  <c r="Z876" i="3" s="1"/>
  <c r="Z873" i="3"/>
  <c r="L870" i="3"/>
  <c r="J867" i="3"/>
  <c r="B864" i="3"/>
  <c r="AA860" i="3"/>
  <c r="Z860" i="3" s="1"/>
  <c r="Z857" i="3"/>
  <c r="J855" i="3"/>
  <c r="L852" i="3"/>
  <c r="AA849" i="3"/>
  <c r="L847" i="3"/>
  <c r="AA844" i="3"/>
  <c r="Z844" i="3" s="1"/>
  <c r="L842" i="3"/>
  <c r="Z839" i="3"/>
  <c r="B837" i="3"/>
  <c r="Z834" i="3"/>
  <c r="B832" i="3"/>
  <c r="Z829" i="3"/>
  <c r="AA826" i="3"/>
  <c r="J824" i="3"/>
  <c r="AA821" i="3"/>
  <c r="J819" i="3"/>
  <c r="AA816" i="3"/>
  <c r="Z814" i="3"/>
  <c r="L812" i="3"/>
  <c r="L810" i="3"/>
  <c r="J808" i="3"/>
  <c r="B806" i="3"/>
  <c r="B804" i="3"/>
  <c r="AA801" i="3"/>
  <c r="Z799" i="3"/>
  <c r="AA797" i="3"/>
  <c r="J796" i="3"/>
  <c r="Z794" i="3"/>
  <c r="B793" i="3"/>
  <c r="L791" i="3"/>
  <c r="AA789" i="3"/>
  <c r="J788" i="3"/>
  <c r="Z786" i="3"/>
  <c r="B785" i="3"/>
  <c r="L783" i="3"/>
  <c r="AA781" i="3"/>
  <c r="J780" i="3"/>
  <c r="Z778" i="3"/>
  <c r="B777" i="3"/>
  <c r="L775" i="3"/>
  <c r="AA773" i="3"/>
  <c r="J772" i="3"/>
  <c r="Z770" i="3"/>
  <c r="B769" i="3"/>
  <c r="L767" i="3"/>
  <c r="AA765" i="3"/>
  <c r="J764" i="3"/>
  <c r="Z762" i="3"/>
  <c r="B761" i="3"/>
  <c r="L759" i="3"/>
  <c r="AA757" i="3"/>
  <c r="J756" i="3"/>
  <c r="Z754" i="3"/>
  <c r="B753" i="3"/>
  <c r="L751" i="3"/>
  <c r="AA749" i="3"/>
  <c r="J748" i="3"/>
  <c r="Z746" i="3"/>
  <c r="B745" i="3"/>
  <c r="L743" i="3"/>
  <c r="AA741" i="3"/>
  <c r="J740" i="3"/>
  <c r="Z738" i="3"/>
  <c r="B737" i="3"/>
  <c r="L735" i="3"/>
  <c r="AA733" i="3"/>
  <c r="J732" i="3"/>
  <c r="Z730" i="3"/>
  <c r="B729" i="3"/>
  <c r="L727" i="3"/>
  <c r="B998" i="3"/>
  <c r="AA993" i="3"/>
  <c r="Z993" i="3" s="1"/>
  <c r="Z989" i="3"/>
  <c r="J985" i="3"/>
  <c r="B981" i="3"/>
  <c r="AA976" i="3"/>
  <c r="Z976" i="3" s="1"/>
  <c r="L972" i="3"/>
  <c r="J968" i="3"/>
  <c r="B964" i="3"/>
  <c r="Z959" i="3"/>
  <c r="L955" i="3"/>
  <c r="J951" i="3"/>
  <c r="AA946" i="3"/>
  <c r="Z946" i="3" s="1"/>
  <c r="Z943" i="3"/>
  <c r="L940" i="3"/>
  <c r="J937" i="3"/>
  <c r="B934" i="3"/>
  <c r="AA930" i="3"/>
  <c r="Z930" i="3" s="1"/>
  <c r="Z927" i="3"/>
  <c r="L924" i="3"/>
  <c r="J921" i="3"/>
  <c r="B918" i="3"/>
  <c r="AA914" i="3"/>
  <c r="Z914" i="3" s="1"/>
  <c r="Z911" i="3"/>
  <c r="L908" i="3"/>
  <c r="J905" i="3"/>
  <c r="B902" i="3"/>
  <c r="AA898" i="3"/>
  <c r="Z898" i="3" s="1"/>
  <c r="Z895" i="3"/>
  <c r="L892" i="3"/>
  <c r="J889" i="3"/>
  <c r="B886" i="3"/>
  <c r="AA882" i="3"/>
  <c r="Z882" i="3" s="1"/>
  <c r="Z879" i="3"/>
  <c r="L876" i="3"/>
  <c r="J873" i="3"/>
  <c r="B870" i="3"/>
  <c r="AA866" i="3"/>
  <c r="Z866" i="3" s="1"/>
  <c r="Z863" i="3"/>
  <c r="L860" i="3"/>
  <c r="J857" i="3"/>
  <c r="Z854" i="3"/>
  <c r="J852" i="3"/>
  <c r="Z849" i="3"/>
  <c r="J847" i="3"/>
  <c r="L844" i="3"/>
  <c r="AA841" i="3"/>
  <c r="L839" i="3"/>
  <c r="AA836" i="3"/>
  <c r="Z836" i="3" s="1"/>
  <c r="L834" i="3"/>
  <c r="Z831" i="3"/>
  <c r="B829" i="3"/>
  <c r="Z826" i="3"/>
  <c r="B824" i="3"/>
  <c r="Z821" i="3"/>
  <c r="AA818" i="3"/>
  <c r="Z816" i="3"/>
  <c r="L814" i="3"/>
  <c r="J812" i="3"/>
  <c r="J810" i="3"/>
  <c r="B808" i="3"/>
  <c r="AA805" i="3"/>
  <c r="AA803" i="3"/>
  <c r="Z803" i="3" s="1"/>
  <c r="Z801" i="3"/>
  <c r="L799" i="3"/>
  <c r="Z797" i="3"/>
  <c r="B796" i="3"/>
  <c r="L794" i="3"/>
  <c r="AA792" i="3"/>
  <c r="J791" i="3"/>
  <c r="Z789" i="3"/>
  <c r="B788" i="3"/>
  <c r="B997" i="3"/>
  <c r="AA992" i="3"/>
  <c r="Z992" i="3" s="1"/>
  <c r="L988" i="3"/>
  <c r="J984" i="3"/>
  <c r="B980" i="3"/>
  <c r="Z975" i="3"/>
  <c r="L971" i="3"/>
  <c r="J967" i="3"/>
  <c r="AA962" i="3"/>
  <c r="Z962" i="3" s="1"/>
  <c r="Z958" i="3"/>
  <c r="L954" i="3"/>
  <c r="B950" i="3"/>
  <c r="AA945" i="3"/>
  <c r="Z942" i="3"/>
  <c r="L939" i="3"/>
  <c r="J936" i="3"/>
  <c r="B933" i="3"/>
  <c r="AA929" i="3"/>
  <c r="Z926" i="3"/>
  <c r="L923" i="3"/>
  <c r="J920" i="3"/>
  <c r="B917" i="3"/>
  <c r="AA913" i="3"/>
  <c r="Z910" i="3"/>
  <c r="L907" i="3"/>
  <c r="J904" i="3"/>
  <c r="B901" i="3"/>
  <c r="AA897" i="3"/>
  <c r="Z894" i="3"/>
  <c r="L891" i="3"/>
  <c r="J888" i="3"/>
  <c r="B885" i="3"/>
  <c r="AA881" i="3"/>
  <c r="Z878" i="3"/>
  <c r="L875" i="3"/>
  <c r="J872" i="3"/>
  <c r="B869" i="3"/>
  <c r="AA865" i="3"/>
  <c r="Z862" i="3"/>
  <c r="L859" i="3"/>
  <c r="AA856" i="3"/>
  <c r="Z856" i="3" s="1"/>
  <c r="B854" i="3"/>
  <c r="L851" i="3"/>
  <c r="B849" i="3"/>
  <c r="L846" i="3"/>
  <c r="B844" i="3"/>
  <c r="J841" i="3"/>
  <c r="Z838" i="3"/>
  <c r="J836" i="3"/>
  <c r="J831" i="3"/>
  <c r="L828" i="3"/>
  <c r="AA825" i="3"/>
  <c r="L823" i="3"/>
  <c r="AA820" i="3"/>
  <c r="Z820" i="3" s="1"/>
  <c r="L818" i="3"/>
  <c r="B816" i="3"/>
  <c r="AA813" i="3"/>
  <c r="AA811" i="3"/>
  <c r="Z811" i="3" s="1"/>
  <c r="L807" i="3"/>
  <c r="L805" i="3"/>
  <c r="J803" i="3"/>
  <c r="B801" i="3"/>
  <c r="B799" i="3"/>
  <c r="J797" i="3"/>
  <c r="B794" i="3"/>
  <c r="L792" i="3"/>
  <c r="AA790" i="3"/>
  <c r="J789" i="3"/>
  <c r="B786" i="3"/>
  <c r="L784" i="3"/>
  <c r="AA782" i="3"/>
  <c r="J781" i="3"/>
  <c r="B778" i="3"/>
  <c r="L776" i="3"/>
  <c r="AA774" i="3"/>
  <c r="J773" i="3"/>
  <c r="B770" i="3"/>
  <c r="L768" i="3"/>
  <c r="AA766" i="3"/>
  <c r="J765" i="3"/>
  <c r="B762" i="3"/>
  <c r="L760" i="3"/>
  <c r="AA758" i="3"/>
  <c r="J757" i="3"/>
  <c r="B754" i="3"/>
  <c r="L752" i="3"/>
  <c r="AA750" i="3"/>
  <c r="J749" i="3"/>
  <c r="B746" i="3"/>
  <c r="L744" i="3"/>
  <c r="AA742" i="3"/>
  <c r="J741" i="3"/>
  <c r="B738" i="3"/>
  <c r="L736" i="3"/>
  <c r="AA734" i="3"/>
  <c r="J733" i="3"/>
  <c r="B730" i="3"/>
  <c r="L728" i="3"/>
  <c r="AA726" i="3"/>
  <c r="J725" i="3"/>
  <c r="B722" i="3"/>
  <c r="L720" i="3"/>
  <c r="AA718" i="3"/>
  <c r="J717" i="3"/>
  <c r="B714" i="3"/>
  <c r="L712" i="3"/>
  <c r="AA710" i="3"/>
  <c r="J709" i="3"/>
  <c r="B706" i="3"/>
  <c r="L704" i="3"/>
  <c r="AA702" i="3"/>
  <c r="J701" i="3"/>
  <c r="L996" i="3"/>
  <c r="J992" i="3"/>
  <c r="B988" i="3"/>
  <c r="Z983" i="3"/>
  <c r="L979" i="3"/>
  <c r="J975" i="3"/>
  <c r="AA970" i="3"/>
  <c r="Z970" i="3" s="1"/>
  <c r="Z966" i="3"/>
  <c r="L962" i="3"/>
  <c r="B958" i="3"/>
  <c r="AA953" i="3"/>
  <c r="Z953" i="3" s="1"/>
  <c r="Z949" i="3"/>
  <c r="Z945" i="3"/>
  <c r="L942" i="3"/>
  <c r="J939" i="3"/>
  <c r="B936" i="3"/>
  <c r="AA932" i="3"/>
  <c r="Z932" i="3" s="1"/>
  <c r="Z929" i="3"/>
  <c r="L926" i="3"/>
  <c r="J923" i="3"/>
  <c r="B920" i="3"/>
  <c r="AA916" i="3"/>
  <c r="Z916" i="3" s="1"/>
  <c r="Z913" i="3"/>
  <c r="L910" i="3"/>
  <c r="J907" i="3"/>
  <c r="B904" i="3"/>
  <c r="AA900" i="3"/>
  <c r="Z900" i="3" s="1"/>
  <c r="Z897" i="3"/>
  <c r="L894" i="3"/>
  <c r="J891" i="3"/>
  <c r="B888" i="3"/>
  <c r="AA884" i="3"/>
  <c r="Z884" i="3" s="1"/>
  <c r="Z881" i="3"/>
  <c r="L878" i="3"/>
  <c r="J875" i="3"/>
  <c r="B872" i="3"/>
  <c r="AA868" i="3"/>
  <c r="Z868" i="3" s="1"/>
  <c r="Z865" i="3"/>
  <c r="L862" i="3"/>
  <c r="J859" i="3"/>
  <c r="J856" i="3"/>
  <c r="AA853" i="3"/>
  <c r="Z853" i="3" s="1"/>
  <c r="J851" i="3"/>
  <c r="AA848" i="3"/>
  <c r="Z848" i="3" s="1"/>
  <c r="B846" i="3"/>
  <c r="L843" i="3"/>
  <c r="B841" i="3"/>
  <c r="L838" i="3"/>
  <c r="B836" i="3"/>
  <c r="J833" i="3"/>
  <c r="Z830" i="3"/>
  <c r="J828" i="3"/>
  <c r="Z825" i="3"/>
  <c r="J823" i="3"/>
  <c r="L820" i="3"/>
  <c r="AA817" i="3"/>
  <c r="Z817" i="3" s="1"/>
  <c r="Z815" i="3"/>
  <c r="Z813" i="3"/>
  <c r="L811" i="3"/>
  <c r="J809" i="3"/>
  <c r="J807" i="3"/>
  <c r="B805" i="3"/>
  <c r="AA802" i="3"/>
  <c r="Z802" i="3" s="1"/>
  <c r="AA800" i="3"/>
  <c r="Z800" i="3" s="1"/>
  <c r="Z798" i="3"/>
  <c r="B797" i="3"/>
  <c r="L795" i="3"/>
  <c r="AA793" i="3"/>
  <c r="Z793" i="3" s="1"/>
  <c r="J792" i="3"/>
  <c r="Z790" i="3"/>
  <c r="B789" i="3"/>
  <c r="L787" i="3"/>
  <c r="AA785" i="3"/>
  <c r="Z785" i="3" s="1"/>
  <c r="J784" i="3"/>
  <c r="Z782" i="3"/>
  <c r="B781" i="3"/>
  <c r="L779" i="3"/>
  <c r="AA777" i="3"/>
  <c r="Z777" i="3" s="1"/>
  <c r="J776" i="3"/>
  <c r="Z774" i="3"/>
  <c r="B773" i="3"/>
  <c r="L771" i="3"/>
  <c r="AA769" i="3"/>
  <c r="Z769" i="3" s="1"/>
  <c r="J768" i="3"/>
  <c r="Z766" i="3"/>
  <c r="B765" i="3"/>
  <c r="L763" i="3"/>
  <c r="AA761" i="3"/>
  <c r="Z761" i="3" s="1"/>
  <c r="J760" i="3"/>
  <c r="Z758" i="3"/>
  <c r="B757" i="3"/>
  <c r="L755" i="3"/>
  <c r="AA753" i="3"/>
  <c r="Z753" i="3" s="1"/>
  <c r="J752" i="3"/>
  <c r="Z750" i="3"/>
  <c r="B749" i="3"/>
  <c r="L747" i="3"/>
  <c r="AA745" i="3"/>
  <c r="Z745" i="3" s="1"/>
  <c r="J744" i="3"/>
  <c r="Z742" i="3"/>
  <c r="B741" i="3"/>
  <c r="L739" i="3"/>
  <c r="AA737" i="3"/>
  <c r="Z737" i="3" s="1"/>
  <c r="J736" i="3"/>
  <c r="Z734" i="3"/>
  <c r="B733" i="3"/>
  <c r="L731" i="3"/>
  <c r="AA729" i="3"/>
  <c r="Z729" i="3" s="1"/>
  <c r="J728" i="3"/>
  <c r="Z726" i="3"/>
  <c r="B725" i="3"/>
  <c r="L723" i="3"/>
  <c r="AA721" i="3"/>
  <c r="Z721" i="3" s="1"/>
  <c r="J720" i="3"/>
  <c r="Z718" i="3"/>
  <c r="B717" i="3"/>
  <c r="L715" i="3"/>
  <c r="AA713" i="3"/>
  <c r="J712" i="3"/>
  <c r="Z710" i="3"/>
  <c r="B709" i="3"/>
  <c r="L707" i="3"/>
  <c r="Z997" i="3"/>
  <c r="L963" i="3"/>
  <c r="Z933" i="3"/>
  <c r="B908" i="3"/>
  <c r="L882" i="3"/>
  <c r="B857" i="3"/>
  <c r="L836" i="3"/>
  <c r="J816" i="3"/>
  <c r="J799" i="3"/>
  <c r="L786" i="3"/>
  <c r="B780" i="3"/>
  <c r="Z773" i="3"/>
  <c r="J767" i="3"/>
  <c r="AA760" i="3"/>
  <c r="L754" i="3"/>
  <c r="B748" i="3"/>
  <c r="Z741" i="3"/>
  <c r="J735" i="3"/>
  <c r="AA728" i="3"/>
  <c r="B724" i="3"/>
  <c r="AA720" i="3"/>
  <c r="L714" i="3"/>
  <c r="Z711" i="3"/>
  <c r="J707" i="3"/>
  <c r="L705" i="3"/>
  <c r="AA701" i="3"/>
  <c r="B700" i="3"/>
  <c r="J698" i="3"/>
  <c r="B695" i="3"/>
  <c r="L693" i="3"/>
  <c r="AA691" i="3"/>
  <c r="J690" i="3"/>
  <c r="B687" i="3"/>
  <c r="L685" i="3"/>
  <c r="AA683" i="3"/>
  <c r="J682" i="3"/>
  <c r="B679" i="3"/>
  <c r="L677" i="3"/>
  <c r="AA675" i="3"/>
  <c r="J674" i="3"/>
  <c r="B671" i="3"/>
  <c r="L669" i="3"/>
  <c r="AA667" i="3"/>
  <c r="J666" i="3"/>
  <c r="B663" i="3"/>
  <c r="L661" i="3"/>
  <c r="AA659" i="3"/>
  <c r="J658" i="3"/>
  <c r="B655" i="3"/>
  <c r="L653" i="3"/>
  <c r="AA651" i="3"/>
  <c r="J650" i="3"/>
  <c r="B647" i="3"/>
  <c r="L645" i="3"/>
  <c r="AA643" i="3"/>
  <c r="J642" i="3"/>
  <c r="B639" i="3"/>
  <c r="L637" i="3"/>
  <c r="AA635" i="3"/>
  <c r="J634" i="3"/>
  <c r="B631" i="3"/>
  <c r="L629" i="3"/>
  <c r="AA627" i="3"/>
  <c r="J626" i="3"/>
  <c r="B623" i="3"/>
  <c r="L621" i="3"/>
  <c r="AA619" i="3"/>
  <c r="J618" i="3"/>
  <c r="B615" i="3"/>
  <c r="L613" i="3"/>
  <c r="AA611" i="3"/>
  <c r="J610" i="3"/>
  <c r="B607" i="3"/>
  <c r="L605" i="3"/>
  <c r="AA603" i="3"/>
  <c r="J602" i="3"/>
  <c r="B599" i="3"/>
  <c r="L597" i="3"/>
  <c r="AA595" i="3"/>
  <c r="J594" i="3"/>
  <c r="B591" i="3"/>
  <c r="L589" i="3"/>
  <c r="AA587" i="3"/>
  <c r="J586" i="3"/>
  <c r="B583" i="3"/>
  <c r="L581" i="3"/>
  <c r="AA579" i="3"/>
  <c r="J578" i="3"/>
  <c r="B575" i="3"/>
  <c r="L573" i="3"/>
  <c r="AA571" i="3"/>
  <c r="J570" i="3"/>
  <c r="B567" i="3"/>
  <c r="L565" i="3"/>
  <c r="AA563" i="3"/>
  <c r="J562" i="3"/>
  <c r="B559" i="3"/>
  <c r="L557" i="3"/>
  <c r="AA555" i="3"/>
  <c r="J554" i="3"/>
  <c r="B551" i="3"/>
  <c r="L549" i="3"/>
  <c r="AA547" i="3"/>
  <c r="J546" i="3"/>
  <c r="J993" i="3"/>
  <c r="J959" i="3"/>
  <c r="L930" i="3"/>
  <c r="AA904" i="3"/>
  <c r="Z904" i="3" s="1"/>
  <c r="J879" i="3"/>
  <c r="L854" i="3"/>
  <c r="AA833" i="3"/>
  <c r="Z833" i="3" s="1"/>
  <c r="B814" i="3"/>
  <c r="L797" i="3"/>
  <c r="J786" i="3"/>
  <c r="AA779" i="3"/>
  <c r="Z779" i="3" s="1"/>
  <c r="L773" i="3"/>
  <c r="B767" i="3"/>
  <c r="Z760" i="3"/>
  <c r="J754" i="3"/>
  <c r="AA747" i="3"/>
  <c r="Z747" i="3" s="1"/>
  <c r="L741" i="3"/>
  <c r="B735" i="3"/>
  <c r="Z728" i="3"/>
  <c r="AA723" i="3"/>
  <c r="Z723" i="3" s="1"/>
  <c r="Z720" i="3"/>
  <c r="L717" i="3"/>
  <c r="J714" i="3"/>
  <c r="L711" i="3"/>
  <c r="L709" i="3"/>
  <c r="B707" i="3"/>
  <c r="J705" i="3"/>
  <c r="L703" i="3"/>
  <c r="Z701" i="3"/>
  <c r="AA699" i="3"/>
  <c r="Z699" i="3" s="1"/>
  <c r="B698" i="3"/>
  <c r="L696" i="3"/>
  <c r="AA694" i="3"/>
  <c r="J693" i="3"/>
  <c r="Z691" i="3"/>
  <c r="B690" i="3"/>
  <c r="L688" i="3"/>
  <c r="AA686" i="3"/>
  <c r="J685" i="3"/>
  <c r="Z683" i="3"/>
  <c r="B682" i="3"/>
  <c r="L680" i="3"/>
  <c r="AA678" i="3"/>
  <c r="J677" i="3"/>
  <c r="Z675" i="3"/>
  <c r="B674" i="3"/>
  <c r="L672" i="3"/>
  <c r="AA670" i="3"/>
  <c r="J669" i="3"/>
  <c r="Z667" i="3"/>
  <c r="B666" i="3"/>
  <c r="L664" i="3"/>
  <c r="AA662" i="3"/>
  <c r="J661" i="3"/>
  <c r="Z659" i="3"/>
  <c r="B658" i="3"/>
  <c r="L656" i="3"/>
  <c r="AA654" i="3"/>
  <c r="J653" i="3"/>
  <c r="Z651" i="3"/>
  <c r="B650" i="3"/>
  <c r="L648" i="3"/>
  <c r="AA646" i="3"/>
  <c r="J645" i="3"/>
  <c r="Z643" i="3"/>
  <c r="B642" i="3"/>
  <c r="L640" i="3"/>
  <c r="AA638" i="3"/>
  <c r="J637" i="3"/>
  <c r="Z635" i="3"/>
  <c r="B634" i="3"/>
  <c r="L632" i="3"/>
  <c r="AA630" i="3"/>
  <c r="J629" i="3"/>
  <c r="Z627" i="3"/>
  <c r="B626" i="3"/>
  <c r="L624" i="3"/>
  <c r="AA622" i="3"/>
  <c r="J621" i="3"/>
  <c r="Z619" i="3"/>
  <c r="B618" i="3"/>
  <c r="L616" i="3"/>
  <c r="AA614" i="3"/>
  <c r="J613" i="3"/>
  <c r="Z611" i="3"/>
  <c r="B610" i="3"/>
  <c r="L608" i="3"/>
  <c r="AA606" i="3"/>
  <c r="J605" i="3"/>
  <c r="Z603" i="3"/>
  <c r="B602" i="3"/>
  <c r="L600" i="3"/>
  <c r="AA598" i="3"/>
  <c r="J597" i="3"/>
  <c r="Z595" i="3"/>
  <c r="B594" i="3"/>
  <c r="L592" i="3"/>
  <c r="AA590" i="3"/>
  <c r="J589" i="3"/>
  <c r="Z587" i="3"/>
  <c r="B586" i="3"/>
  <c r="L584" i="3"/>
  <c r="AA582" i="3"/>
  <c r="J581" i="3"/>
  <c r="Z579" i="3"/>
  <c r="B578" i="3"/>
  <c r="L576" i="3"/>
  <c r="AA574" i="3"/>
  <c r="J573" i="3"/>
  <c r="Z571" i="3"/>
  <c r="B570" i="3"/>
  <c r="L568" i="3"/>
  <c r="AA566" i="3"/>
  <c r="J565" i="3"/>
  <c r="Z563" i="3"/>
  <c r="B562" i="3"/>
  <c r="L560" i="3"/>
  <c r="B989" i="3"/>
  <c r="AA954" i="3"/>
  <c r="Z954" i="3" s="1"/>
  <c r="J927" i="3"/>
  <c r="Z901" i="3"/>
  <c r="B876" i="3"/>
  <c r="B852" i="3"/>
  <c r="L831" i="3"/>
  <c r="B812" i="3"/>
  <c r="AA795" i="3"/>
  <c r="Z795" i="3" s="1"/>
  <c r="AA784" i="3"/>
  <c r="L778" i="3"/>
  <c r="B772" i="3"/>
  <c r="Z765" i="3"/>
  <c r="J759" i="3"/>
  <c r="AA752" i="3"/>
  <c r="L746" i="3"/>
  <c r="B740" i="3"/>
  <c r="Z733" i="3"/>
  <c r="J727" i="3"/>
  <c r="AA722" i="3"/>
  <c r="Z719" i="3"/>
  <c r="L716" i="3"/>
  <c r="Z713" i="3"/>
  <c r="J711" i="3"/>
  <c r="AA708" i="3"/>
  <c r="AA706" i="3"/>
  <c r="B705" i="3"/>
  <c r="J703" i="3"/>
  <c r="L701" i="3"/>
  <c r="L699" i="3"/>
  <c r="AA697" i="3"/>
  <c r="J696" i="3"/>
  <c r="Z694" i="3"/>
  <c r="B693" i="3"/>
  <c r="L691" i="3"/>
  <c r="AA689" i="3"/>
  <c r="J688" i="3"/>
  <c r="Z686" i="3"/>
  <c r="B685" i="3"/>
  <c r="L683" i="3"/>
  <c r="AA681" i="3"/>
  <c r="J680" i="3"/>
  <c r="Z678" i="3"/>
  <c r="B677" i="3"/>
  <c r="L675" i="3"/>
  <c r="AA673" i="3"/>
  <c r="J672" i="3"/>
  <c r="Z670" i="3"/>
  <c r="B669" i="3"/>
  <c r="L667" i="3"/>
  <c r="AA665" i="3"/>
  <c r="J664" i="3"/>
  <c r="Z662" i="3"/>
  <c r="B661" i="3"/>
  <c r="L659" i="3"/>
  <c r="AA657" i="3"/>
  <c r="J656" i="3"/>
  <c r="Z654" i="3"/>
  <c r="B653" i="3"/>
  <c r="L651" i="3"/>
  <c r="AA649" i="3"/>
  <c r="J648" i="3"/>
  <c r="Z646" i="3"/>
  <c r="B645" i="3"/>
  <c r="L643" i="3"/>
  <c r="AA641" i="3"/>
  <c r="J640" i="3"/>
  <c r="Z638" i="3"/>
  <c r="B637" i="3"/>
  <c r="L635" i="3"/>
  <c r="AA633" i="3"/>
  <c r="J632" i="3"/>
  <c r="Z630" i="3"/>
  <c r="B629" i="3"/>
  <c r="L627" i="3"/>
  <c r="AA625" i="3"/>
  <c r="J624" i="3"/>
  <c r="Z622" i="3"/>
  <c r="B621" i="3"/>
  <c r="L619" i="3"/>
  <c r="AA617" i="3"/>
  <c r="J616" i="3"/>
  <c r="Z614" i="3"/>
  <c r="B613" i="3"/>
  <c r="L611" i="3"/>
  <c r="AA609" i="3"/>
  <c r="J608" i="3"/>
  <c r="Z606" i="3"/>
  <c r="B605" i="3"/>
  <c r="L603" i="3"/>
  <c r="AA601" i="3"/>
  <c r="J600" i="3"/>
  <c r="Z598" i="3"/>
  <c r="B597" i="3"/>
  <c r="L595" i="3"/>
  <c r="AA593" i="3"/>
  <c r="J592" i="3"/>
  <c r="Z590" i="3"/>
  <c r="B589" i="3"/>
  <c r="L587" i="3"/>
  <c r="AA585" i="3"/>
  <c r="J584" i="3"/>
  <c r="Z582" i="3"/>
  <c r="B581" i="3"/>
  <c r="L579" i="3"/>
  <c r="AA577" i="3"/>
  <c r="J576" i="3"/>
  <c r="Z574" i="3"/>
  <c r="B573" i="3"/>
  <c r="L571" i="3"/>
  <c r="AA569" i="3"/>
  <c r="J568" i="3"/>
  <c r="Z566" i="3"/>
  <c r="B565" i="3"/>
  <c r="L563" i="3"/>
  <c r="AA561" i="3"/>
  <c r="J560" i="3"/>
  <c r="B557" i="3"/>
  <c r="L555" i="3"/>
  <c r="AA553" i="3"/>
  <c r="J552" i="3"/>
  <c r="B549" i="3"/>
  <c r="L547" i="3"/>
  <c r="AA545" i="3"/>
  <c r="J544" i="3"/>
  <c r="AA984" i="3"/>
  <c r="Z984" i="3" s="1"/>
  <c r="Z950" i="3"/>
  <c r="B924" i="3"/>
  <c r="L898" i="3"/>
  <c r="AA872" i="3"/>
  <c r="Z872" i="3" s="1"/>
  <c r="J849" i="3"/>
  <c r="AA828" i="3"/>
  <c r="Z828" i="3" s="1"/>
  <c r="AA809" i="3"/>
  <c r="Z809" i="3" s="1"/>
  <c r="J794" i="3"/>
  <c r="Z784" i="3"/>
  <c r="J778" i="3"/>
  <c r="AA771" i="3"/>
  <c r="Z771" i="3" s="1"/>
  <c r="L765" i="3"/>
  <c r="B759" i="3"/>
  <c r="Z752" i="3"/>
  <c r="J746" i="3"/>
  <c r="AA739" i="3"/>
  <c r="Z739" i="3" s="1"/>
  <c r="L733" i="3"/>
  <c r="B727" i="3"/>
  <c r="Z722" i="3"/>
  <c r="L719" i="3"/>
  <c r="J716" i="3"/>
  <c r="J713" i="3"/>
  <c r="B711" i="3"/>
  <c r="Z708" i="3"/>
  <c r="Z706" i="3"/>
  <c r="AA704" i="3"/>
  <c r="B703" i="3"/>
  <c r="B701" i="3"/>
  <c r="J699" i="3"/>
  <c r="Z697" i="3"/>
  <c r="B696" i="3"/>
  <c r="L694" i="3"/>
  <c r="AA692" i="3"/>
  <c r="J691" i="3"/>
  <c r="Z689" i="3"/>
  <c r="B688" i="3"/>
  <c r="L686" i="3"/>
  <c r="AA684" i="3"/>
  <c r="J683" i="3"/>
  <c r="Z681" i="3"/>
  <c r="B680" i="3"/>
  <c r="L678" i="3"/>
  <c r="AA676" i="3"/>
  <c r="J675" i="3"/>
  <c r="Z673" i="3"/>
  <c r="B672" i="3"/>
  <c r="L670" i="3"/>
  <c r="AA668" i="3"/>
  <c r="J667" i="3"/>
  <c r="Z665" i="3"/>
  <c r="B664" i="3"/>
  <c r="L662" i="3"/>
  <c r="AA660" i="3"/>
  <c r="J659" i="3"/>
  <c r="Z657" i="3"/>
  <c r="B656" i="3"/>
  <c r="L654" i="3"/>
  <c r="AA652" i="3"/>
  <c r="J651" i="3"/>
  <c r="Z649" i="3"/>
  <c r="B648" i="3"/>
  <c r="L646" i="3"/>
  <c r="AA644" i="3"/>
  <c r="J643" i="3"/>
  <c r="Z641" i="3"/>
  <c r="B640" i="3"/>
  <c r="L638" i="3"/>
  <c r="AA636" i="3"/>
  <c r="J635" i="3"/>
  <c r="Z633" i="3"/>
  <c r="B632" i="3"/>
  <c r="L630" i="3"/>
  <c r="AA628" i="3"/>
  <c r="J627" i="3"/>
  <c r="Z625" i="3"/>
  <c r="B624" i="3"/>
  <c r="L622" i="3"/>
  <c r="AA620" i="3"/>
  <c r="J619" i="3"/>
  <c r="Z617" i="3"/>
  <c r="B616" i="3"/>
  <c r="L614" i="3"/>
  <c r="AA612" i="3"/>
  <c r="J611" i="3"/>
  <c r="Z609" i="3"/>
  <c r="B608" i="3"/>
  <c r="L606" i="3"/>
  <c r="AA604" i="3"/>
  <c r="J603" i="3"/>
  <c r="Z601" i="3"/>
  <c r="B600" i="3"/>
  <c r="L598" i="3"/>
  <c r="AA596" i="3"/>
  <c r="J595" i="3"/>
  <c r="Z593" i="3"/>
  <c r="B592" i="3"/>
  <c r="L590" i="3"/>
  <c r="AA588" i="3"/>
  <c r="J587" i="3"/>
  <c r="Z585" i="3"/>
  <c r="B584" i="3"/>
  <c r="L582" i="3"/>
  <c r="AA580" i="3"/>
  <c r="J579" i="3"/>
  <c r="Z577" i="3"/>
  <c r="B576" i="3"/>
  <c r="L574" i="3"/>
  <c r="AA572" i="3"/>
  <c r="J571" i="3"/>
  <c r="Z569" i="3"/>
  <c r="B568" i="3"/>
  <c r="L566" i="3"/>
  <c r="AA564" i="3"/>
  <c r="J563" i="3"/>
  <c r="Z561" i="3"/>
  <c r="B560" i="3"/>
  <c r="L558" i="3"/>
  <c r="AA556" i="3"/>
  <c r="J555" i="3"/>
  <c r="Z553" i="3"/>
  <c r="B552" i="3"/>
  <c r="L980" i="3"/>
  <c r="L946" i="3"/>
  <c r="AA920" i="3"/>
  <c r="Z920" i="3" s="1"/>
  <c r="J895" i="3"/>
  <c r="Z869" i="3"/>
  <c r="Z846" i="3"/>
  <c r="L826" i="3"/>
  <c r="Z807" i="3"/>
  <c r="Z792" i="3"/>
  <c r="J783" i="3"/>
  <c r="AA776" i="3"/>
  <c r="L770" i="3"/>
  <c r="B764" i="3"/>
  <c r="Z757" i="3"/>
  <c r="J751" i="3"/>
  <c r="AA744" i="3"/>
  <c r="L738" i="3"/>
  <c r="B732" i="3"/>
  <c r="AA725" i="3"/>
  <c r="L722" i="3"/>
  <c r="J719" i="3"/>
  <c r="B716" i="3"/>
  <c r="B713" i="3"/>
  <c r="L710" i="3"/>
  <c r="L708" i="3"/>
  <c r="L706" i="3"/>
  <c r="Z704" i="3"/>
  <c r="Z702" i="3"/>
  <c r="AA700" i="3"/>
  <c r="B699" i="3"/>
  <c r="L697" i="3"/>
  <c r="AA695" i="3"/>
  <c r="J694" i="3"/>
  <c r="Z692" i="3"/>
  <c r="B691" i="3"/>
  <c r="L689" i="3"/>
  <c r="AA687" i="3"/>
  <c r="J686" i="3"/>
  <c r="Z684" i="3"/>
  <c r="B683" i="3"/>
  <c r="L681" i="3"/>
  <c r="AA679" i="3"/>
  <c r="J678" i="3"/>
  <c r="Z676" i="3"/>
  <c r="B675" i="3"/>
  <c r="L673" i="3"/>
  <c r="AA671" i="3"/>
  <c r="J670" i="3"/>
  <c r="Z668" i="3"/>
  <c r="B667" i="3"/>
  <c r="L665" i="3"/>
  <c r="AA663" i="3"/>
  <c r="J662" i="3"/>
  <c r="Z660" i="3"/>
  <c r="B659" i="3"/>
  <c r="L657" i="3"/>
  <c r="AA655" i="3"/>
  <c r="J654" i="3"/>
  <c r="Z652" i="3"/>
  <c r="B651" i="3"/>
  <c r="L649" i="3"/>
  <c r="AA647" i="3"/>
  <c r="J646" i="3"/>
  <c r="Z644" i="3"/>
  <c r="B643" i="3"/>
  <c r="L641" i="3"/>
  <c r="AA639" i="3"/>
  <c r="J638" i="3"/>
  <c r="Z636" i="3"/>
  <c r="B635" i="3"/>
  <c r="L633" i="3"/>
  <c r="AA631" i="3"/>
  <c r="J630" i="3"/>
  <c r="Z628" i="3"/>
  <c r="B627" i="3"/>
  <c r="L625" i="3"/>
  <c r="AA623" i="3"/>
  <c r="B972" i="3"/>
  <c r="B940" i="3"/>
  <c r="L914" i="3"/>
  <c r="AA888" i="3"/>
  <c r="Z888" i="3" s="1"/>
  <c r="J863" i="3"/>
  <c r="Z841" i="3"/>
  <c r="B821" i="3"/>
  <c r="L803" i="3"/>
  <c r="L789" i="3"/>
  <c r="Z781" i="3"/>
  <c r="J775" i="3"/>
  <c r="AA768" i="3"/>
  <c r="L762" i="3"/>
  <c r="B756" i="3"/>
  <c r="Z749" i="3"/>
  <c r="J743" i="3"/>
  <c r="AA736" i="3"/>
  <c r="L730" i="3"/>
  <c r="L725" i="3"/>
  <c r="J721" i="3"/>
  <c r="B718" i="3"/>
  <c r="AA714" i="3"/>
  <c r="B710" i="3"/>
  <c r="B708" i="3"/>
  <c r="AA705" i="3"/>
  <c r="B704" i="3"/>
  <c r="J702" i="3"/>
  <c r="L700" i="3"/>
  <c r="B697" i="3"/>
  <c r="L695" i="3"/>
  <c r="AA693" i="3"/>
  <c r="J692" i="3"/>
  <c r="B689" i="3"/>
  <c r="L687" i="3"/>
  <c r="AA685" i="3"/>
  <c r="J684" i="3"/>
  <c r="B681" i="3"/>
  <c r="L679" i="3"/>
  <c r="AA677" i="3"/>
  <c r="J676" i="3"/>
  <c r="B673" i="3"/>
  <c r="L671" i="3"/>
  <c r="AA669" i="3"/>
  <c r="J668" i="3"/>
  <c r="B665" i="3"/>
  <c r="L663" i="3"/>
  <c r="AA661" i="3"/>
  <c r="J660" i="3"/>
  <c r="B657" i="3"/>
  <c r="L655" i="3"/>
  <c r="AA653" i="3"/>
  <c r="J652" i="3"/>
  <c r="B649" i="3"/>
  <c r="L647" i="3"/>
  <c r="AA645" i="3"/>
  <c r="J644" i="3"/>
  <c r="B641" i="3"/>
  <c r="L639" i="3"/>
  <c r="AA637" i="3"/>
  <c r="J636" i="3"/>
  <c r="B633" i="3"/>
  <c r="L631" i="3"/>
  <c r="AA629" i="3"/>
  <c r="J628" i="3"/>
  <c r="B625" i="3"/>
  <c r="L623" i="3"/>
  <c r="AA621" i="3"/>
  <c r="J620" i="3"/>
  <c r="B617" i="3"/>
  <c r="L615" i="3"/>
  <c r="AA613" i="3"/>
  <c r="J612" i="3"/>
  <c r="B609" i="3"/>
  <c r="L607" i="3"/>
  <c r="AA605" i="3"/>
  <c r="J604" i="3"/>
  <c r="B601" i="3"/>
  <c r="L599" i="3"/>
  <c r="AA597" i="3"/>
  <c r="J596" i="3"/>
  <c r="B593" i="3"/>
  <c r="L591" i="3"/>
  <c r="AA589" i="3"/>
  <c r="J588" i="3"/>
  <c r="B585" i="3"/>
  <c r="L583" i="3"/>
  <c r="AA581" i="3"/>
  <c r="J580" i="3"/>
  <c r="B577" i="3"/>
  <c r="L575" i="3"/>
  <c r="AA573" i="3"/>
  <c r="J572" i="3"/>
  <c r="B569" i="3"/>
  <c r="L567" i="3"/>
  <c r="AA565" i="3"/>
  <c r="J564" i="3"/>
  <c r="B561" i="3"/>
  <c r="L559" i="3"/>
  <c r="AA557" i="3"/>
  <c r="J556" i="3"/>
  <c r="Z967" i="3"/>
  <c r="AA936" i="3"/>
  <c r="Z936" i="3" s="1"/>
  <c r="J911" i="3"/>
  <c r="Z885" i="3"/>
  <c r="B860" i="3"/>
  <c r="J839" i="3"/>
  <c r="Z818" i="3"/>
  <c r="J801" i="3"/>
  <c r="AA787" i="3"/>
  <c r="Z787" i="3" s="1"/>
  <c r="L781" i="3"/>
  <c r="B775" i="3"/>
  <c r="Z768" i="3"/>
  <c r="J762" i="3"/>
  <c r="AA755" i="3"/>
  <c r="Z755" i="3" s="1"/>
  <c r="L749" i="3"/>
  <c r="B743" i="3"/>
  <c r="Z736" i="3"/>
  <c r="J730" i="3"/>
  <c r="J724" i="3"/>
  <c r="B721" i="3"/>
  <c r="AA717" i="3"/>
  <c r="Z717" i="3" s="1"/>
  <c r="Z714" i="3"/>
  <c r="B712" i="3"/>
  <c r="AA709" i="3"/>
  <c r="Z709" i="3" s="1"/>
  <c r="AA707" i="3"/>
  <c r="Z707" i="3" s="1"/>
  <c r="Z705" i="3"/>
  <c r="AA703" i="3"/>
  <c r="Z703" i="3" s="1"/>
  <c r="B702" i="3"/>
  <c r="J700" i="3"/>
  <c r="L698" i="3"/>
  <c r="AA696" i="3"/>
  <c r="Z696" i="3" s="1"/>
  <c r="J695" i="3"/>
  <c r="Z693" i="3"/>
  <c r="B692" i="3"/>
  <c r="L690" i="3"/>
  <c r="AA688" i="3"/>
  <c r="Z688" i="3" s="1"/>
  <c r="J687" i="3"/>
  <c r="Z685" i="3"/>
  <c r="B684" i="3"/>
  <c r="L682" i="3"/>
  <c r="AA680" i="3"/>
  <c r="Z680" i="3" s="1"/>
  <c r="J679" i="3"/>
  <c r="Z677" i="3"/>
  <c r="B676" i="3"/>
  <c r="L674" i="3"/>
  <c r="AA672" i="3"/>
  <c r="Z672" i="3" s="1"/>
  <c r="J671" i="3"/>
  <c r="Z669" i="3"/>
  <c r="B668" i="3"/>
  <c r="L666" i="3"/>
  <c r="AA664" i="3"/>
  <c r="Z664" i="3" s="1"/>
  <c r="J663" i="3"/>
  <c r="Z661" i="3"/>
  <c r="B660" i="3"/>
  <c r="L658" i="3"/>
  <c r="AA656" i="3"/>
  <c r="Z656" i="3" s="1"/>
  <c r="J655" i="3"/>
  <c r="Z653" i="3"/>
  <c r="B652" i="3"/>
  <c r="L650" i="3"/>
  <c r="AA648" i="3"/>
  <c r="Z648" i="3" s="1"/>
  <c r="J647" i="3"/>
  <c r="Z645" i="3"/>
  <c r="B644" i="3"/>
  <c r="L642" i="3"/>
  <c r="AA640" i="3"/>
  <c r="Z640" i="3" s="1"/>
  <c r="J639" i="3"/>
  <c r="Z637" i="3"/>
  <c r="B636" i="3"/>
  <c r="L634" i="3"/>
  <c r="AA632" i="3"/>
  <c r="Z632" i="3" s="1"/>
  <c r="J631" i="3"/>
  <c r="Z629" i="3"/>
  <c r="B628" i="3"/>
  <c r="L626" i="3"/>
  <c r="AA624" i="3"/>
  <c r="Z624" i="3" s="1"/>
  <c r="J623" i="3"/>
  <c r="Z621" i="3"/>
  <c r="B620" i="3"/>
  <c r="L618" i="3"/>
  <c r="AA616" i="3"/>
  <c r="Z616" i="3" s="1"/>
  <c r="J615" i="3"/>
  <c r="Z613" i="3"/>
  <c r="B612" i="3"/>
  <c r="L610" i="3"/>
  <c r="AA608" i="3"/>
  <c r="Z608" i="3" s="1"/>
  <c r="J607" i="3"/>
  <c r="Z605" i="3"/>
  <c r="B604" i="3"/>
  <c r="L602" i="3"/>
  <c r="AA600" i="3"/>
  <c r="Z600" i="3" s="1"/>
  <c r="J599" i="3"/>
  <c r="Z597" i="3"/>
  <c r="B596" i="3"/>
  <c r="L594" i="3"/>
  <c r="AA592" i="3"/>
  <c r="Z592" i="3" s="1"/>
  <c r="J591" i="3"/>
  <c r="Z589" i="3"/>
  <c r="B588" i="3"/>
  <c r="L586" i="3"/>
  <c r="AA584" i="3"/>
  <c r="Z584" i="3" s="1"/>
  <c r="J583" i="3"/>
  <c r="Z581" i="3"/>
  <c r="B580" i="3"/>
  <c r="L578" i="3"/>
  <c r="AA576" i="3"/>
  <c r="Z576" i="3" s="1"/>
  <c r="J575" i="3"/>
  <c r="Z573" i="3"/>
  <c r="B572" i="3"/>
  <c r="L570" i="3"/>
  <c r="AA568" i="3"/>
  <c r="Z568" i="3" s="1"/>
  <c r="J567" i="3"/>
  <c r="Z565" i="3"/>
  <c r="B564" i="3"/>
  <c r="L562" i="3"/>
  <c r="AA560" i="3"/>
  <c r="Z560" i="3" s="1"/>
  <c r="J559" i="3"/>
  <c r="Z557" i="3"/>
  <c r="B556" i="3"/>
  <c r="L554" i="3"/>
  <c r="AA552" i="3"/>
  <c r="Z552" i="3" s="1"/>
  <c r="J551" i="3"/>
  <c r="B548" i="3"/>
  <c r="L546" i="3"/>
  <c r="AA544" i="3"/>
  <c r="Z544" i="3" s="1"/>
  <c r="J543" i="3"/>
  <c r="J976" i="3"/>
  <c r="B791" i="3"/>
  <c r="J738" i="3"/>
  <c r="J708" i="3"/>
  <c r="B694" i="3"/>
  <c r="J681" i="3"/>
  <c r="L668" i="3"/>
  <c r="Z655" i="3"/>
  <c r="AA642" i="3"/>
  <c r="Z642" i="3" s="1"/>
  <c r="B630" i="3"/>
  <c r="L620" i="3"/>
  <c r="B614" i="3"/>
  <c r="J601" i="3"/>
  <c r="AA594" i="3"/>
  <c r="Z594" i="3" s="1"/>
  <c r="L588" i="3"/>
  <c r="B582" i="3"/>
  <c r="J569" i="3"/>
  <c r="AA562" i="3"/>
  <c r="Z562" i="3" s="1"/>
  <c r="J557" i="3"/>
  <c r="J553" i="3"/>
  <c r="J550" i="3"/>
  <c r="Z547" i="3"/>
  <c r="J545" i="3"/>
  <c r="AA542" i="3"/>
  <c r="Z542" i="3" s="1"/>
  <c r="B541" i="3"/>
  <c r="L539" i="3"/>
  <c r="AA537" i="3"/>
  <c r="J536" i="3"/>
  <c r="B533" i="3"/>
  <c r="L531" i="3"/>
  <c r="AA529" i="3"/>
  <c r="J528" i="3"/>
  <c r="B525" i="3"/>
  <c r="L523" i="3"/>
  <c r="AA521" i="3"/>
  <c r="J520" i="3"/>
  <c r="B517" i="3"/>
  <c r="L515" i="3"/>
  <c r="AA513" i="3"/>
  <c r="J512" i="3"/>
  <c r="B509" i="3"/>
  <c r="L507" i="3"/>
  <c r="AA505" i="3"/>
  <c r="J504" i="3"/>
  <c r="B501" i="3"/>
  <c r="L499" i="3"/>
  <c r="AA497" i="3"/>
  <c r="J496" i="3"/>
  <c r="B493" i="3"/>
  <c r="L491" i="3"/>
  <c r="AA489" i="3"/>
  <c r="J488" i="3"/>
  <c r="B485" i="3"/>
  <c r="L483" i="3"/>
  <c r="AA481" i="3"/>
  <c r="J480" i="3"/>
  <c r="B477" i="3"/>
  <c r="L475" i="3"/>
  <c r="AA473" i="3"/>
  <c r="J472" i="3"/>
  <c r="B469" i="3"/>
  <c r="L467" i="3"/>
  <c r="AA465" i="3"/>
  <c r="J464" i="3"/>
  <c r="B461" i="3"/>
  <c r="L459" i="3"/>
  <c r="AA457" i="3"/>
  <c r="J456" i="3"/>
  <c r="B453" i="3"/>
  <c r="L451" i="3"/>
  <c r="AA449" i="3"/>
  <c r="J448" i="3"/>
  <c r="B445" i="3"/>
  <c r="L443" i="3"/>
  <c r="AA441" i="3"/>
  <c r="J440" i="3"/>
  <c r="B437" i="3"/>
  <c r="L435" i="3"/>
  <c r="AA433" i="3"/>
  <c r="J432" i="3"/>
  <c r="B429" i="3"/>
  <c r="L427" i="3"/>
  <c r="AA425" i="3"/>
  <c r="J424" i="3"/>
  <c r="B421" i="3"/>
  <c r="L419" i="3"/>
  <c r="AA417" i="3"/>
  <c r="J416" i="3"/>
  <c r="B413" i="3"/>
  <c r="L411" i="3"/>
  <c r="AA409" i="3"/>
  <c r="J408" i="3"/>
  <c r="B405" i="3"/>
  <c r="L403" i="3"/>
  <c r="AA401" i="3"/>
  <c r="J400" i="3"/>
  <c r="B397" i="3"/>
  <c r="L395" i="3"/>
  <c r="AA393" i="3"/>
  <c r="J392" i="3"/>
  <c r="B389" i="3"/>
  <c r="L387" i="3"/>
  <c r="AA385" i="3"/>
  <c r="J384" i="3"/>
  <c r="J943" i="3"/>
  <c r="B783" i="3"/>
  <c r="AA731" i="3"/>
  <c r="Z731" i="3" s="1"/>
  <c r="J706" i="3"/>
  <c r="L692" i="3"/>
  <c r="Z679" i="3"/>
  <c r="AA666" i="3"/>
  <c r="Z666" i="3" s="1"/>
  <c r="B654" i="3"/>
  <c r="J641" i="3"/>
  <c r="L628" i="3"/>
  <c r="B619" i="3"/>
  <c r="Z612" i="3"/>
  <c r="J606" i="3"/>
  <c r="AA599" i="3"/>
  <c r="L593" i="3"/>
  <c r="B587" i="3"/>
  <c r="Z580" i="3"/>
  <c r="J574" i="3"/>
  <c r="AA567" i="3"/>
  <c r="L561" i="3"/>
  <c r="Z556" i="3"/>
  <c r="B553" i="3"/>
  <c r="B550" i="3"/>
  <c r="J547" i="3"/>
  <c r="B545" i="3"/>
  <c r="L542" i="3"/>
  <c r="AA540" i="3"/>
  <c r="J539" i="3"/>
  <c r="Z537" i="3"/>
  <c r="B536" i="3"/>
  <c r="L534" i="3"/>
  <c r="AA532" i="3"/>
  <c r="J531" i="3"/>
  <c r="Z529" i="3"/>
  <c r="B528" i="3"/>
  <c r="L526" i="3"/>
  <c r="AA524" i="3"/>
  <c r="J523" i="3"/>
  <c r="Z521" i="3"/>
  <c r="B520" i="3"/>
  <c r="L518" i="3"/>
  <c r="AA516" i="3"/>
  <c r="J515" i="3"/>
  <c r="Z513" i="3"/>
  <c r="B512" i="3"/>
  <c r="L510" i="3"/>
  <c r="AA508" i="3"/>
  <c r="J507" i="3"/>
  <c r="Z505" i="3"/>
  <c r="B504" i="3"/>
  <c r="L502" i="3"/>
  <c r="AA500" i="3"/>
  <c r="J499" i="3"/>
  <c r="Z497" i="3"/>
  <c r="B496" i="3"/>
  <c r="L494" i="3"/>
  <c r="AA492" i="3"/>
  <c r="J491" i="3"/>
  <c r="Z489" i="3"/>
  <c r="B488" i="3"/>
  <c r="L486" i="3"/>
  <c r="AA484" i="3"/>
  <c r="J483" i="3"/>
  <c r="Z481" i="3"/>
  <c r="B480" i="3"/>
  <c r="L478" i="3"/>
  <c r="AA476" i="3"/>
  <c r="J475" i="3"/>
  <c r="Z473" i="3"/>
  <c r="B472" i="3"/>
  <c r="L470" i="3"/>
  <c r="AA468" i="3"/>
  <c r="J467" i="3"/>
  <c r="Z465" i="3"/>
  <c r="B464" i="3"/>
  <c r="L462" i="3"/>
  <c r="AA460" i="3"/>
  <c r="J459" i="3"/>
  <c r="Z457" i="3"/>
  <c r="B456" i="3"/>
  <c r="L454" i="3"/>
  <c r="AA452" i="3"/>
  <c r="J451" i="3"/>
  <c r="Z449" i="3"/>
  <c r="B448" i="3"/>
  <c r="L446" i="3"/>
  <c r="AA444" i="3"/>
  <c r="J443" i="3"/>
  <c r="Z441" i="3"/>
  <c r="B440" i="3"/>
  <c r="L438" i="3"/>
  <c r="AA436" i="3"/>
  <c r="J435" i="3"/>
  <c r="Z433" i="3"/>
  <c r="B432" i="3"/>
  <c r="L430" i="3"/>
  <c r="AA428" i="3"/>
  <c r="J427" i="3"/>
  <c r="Z425" i="3"/>
  <c r="B424" i="3"/>
  <c r="L422" i="3"/>
  <c r="AA420" i="3"/>
  <c r="J419" i="3"/>
  <c r="Z417" i="3"/>
  <c r="B416" i="3"/>
  <c r="L414" i="3"/>
  <c r="AA412" i="3"/>
  <c r="J411" i="3"/>
  <c r="Z409" i="3"/>
  <c r="B408" i="3"/>
  <c r="L406" i="3"/>
  <c r="AA404" i="3"/>
  <c r="J403" i="3"/>
  <c r="Z401" i="3"/>
  <c r="B400" i="3"/>
  <c r="L398" i="3"/>
  <c r="AA396" i="3"/>
  <c r="J395" i="3"/>
  <c r="Z393" i="3"/>
  <c r="B392" i="3"/>
  <c r="L390" i="3"/>
  <c r="AA388" i="3"/>
  <c r="J387" i="3"/>
  <c r="Z385" i="3"/>
  <c r="B384" i="3"/>
  <c r="L382" i="3"/>
  <c r="AA380" i="3"/>
  <c r="Z917" i="3"/>
  <c r="Z776" i="3"/>
  <c r="Z725" i="3"/>
  <c r="J704" i="3"/>
  <c r="AA690" i="3"/>
  <c r="Z690" i="3" s="1"/>
  <c r="B678" i="3"/>
  <c r="J665" i="3"/>
  <c r="L652" i="3"/>
  <c r="Z639" i="3"/>
  <c r="AA626" i="3"/>
  <c r="Z626" i="3" s="1"/>
  <c r="AA618" i="3"/>
  <c r="Z618" i="3" s="1"/>
  <c r="L612" i="3"/>
  <c r="B606" i="3"/>
  <c r="Z599" i="3"/>
  <c r="J593" i="3"/>
  <c r="AA586" i="3"/>
  <c r="Z586" i="3" s="1"/>
  <c r="L580" i="3"/>
  <c r="B574" i="3"/>
  <c r="Z567" i="3"/>
  <c r="J561" i="3"/>
  <c r="L556" i="3"/>
  <c r="L552" i="3"/>
  <c r="AA549" i="3"/>
  <c r="Z549" i="3" s="1"/>
  <c r="B547" i="3"/>
  <c r="L544" i="3"/>
  <c r="J542" i="3"/>
  <c r="Z540" i="3"/>
  <c r="B539" i="3"/>
  <c r="L537" i="3"/>
  <c r="AA535" i="3"/>
  <c r="J534" i="3"/>
  <c r="Z532" i="3"/>
  <c r="B531" i="3"/>
  <c r="L529" i="3"/>
  <c r="AA527" i="3"/>
  <c r="J526" i="3"/>
  <c r="Z524" i="3"/>
  <c r="B523" i="3"/>
  <c r="L521" i="3"/>
  <c r="AA519" i="3"/>
  <c r="J518" i="3"/>
  <c r="Z516" i="3"/>
  <c r="B515" i="3"/>
  <c r="L513" i="3"/>
  <c r="AA511" i="3"/>
  <c r="J510" i="3"/>
  <c r="Z508" i="3"/>
  <c r="B507" i="3"/>
  <c r="L505" i="3"/>
  <c r="AA503" i="3"/>
  <c r="J502" i="3"/>
  <c r="Z500" i="3"/>
  <c r="B499" i="3"/>
  <c r="L497" i="3"/>
  <c r="AA495" i="3"/>
  <c r="J494" i="3"/>
  <c r="Z492" i="3"/>
  <c r="B491" i="3"/>
  <c r="L489" i="3"/>
  <c r="AA487" i="3"/>
  <c r="J486" i="3"/>
  <c r="Z484" i="3"/>
  <c r="B483" i="3"/>
  <c r="L481" i="3"/>
  <c r="AA479" i="3"/>
  <c r="J478" i="3"/>
  <c r="Z476" i="3"/>
  <c r="B475" i="3"/>
  <c r="L473" i="3"/>
  <c r="AA471" i="3"/>
  <c r="J470" i="3"/>
  <c r="Z468" i="3"/>
  <c r="B467" i="3"/>
  <c r="L465" i="3"/>
  <c r="AA463" i="3"/>
  <c r="J462" i="3"/>
  <c r="Z460" i="3"/>
  <c r="B459" i="3"/>
  <c r="L457" i="3"/>
  <c r="AA455" i="3"/>
  <c r="J454" i="3"/>
  <c r="Z452" i="3"/>
  <c r="B451" i="3"/>
  <c r="L449" i="3"/>
  <c r="AA447" i="3"/>
  <c r="J446" i="3"/>
  <c r="Z444" i="3"/>
  <c r="B443" i="3"/>
  <c r="L441" i="3"/>
  <c r="AA439" i="3"/>
  <c r="J438" i="3"/>
  <c r="Z436" i="3"/>
  <c r="B435" i="3"/>
  <c r="L433" i="3"/>
  <c r="AA431" i="3"/>
  <c r="J430" i="3"/>
  <c r="Z428" i="3"/>
  <c r="B427" i="3"/>
  <c r="L425" i="3"/>
  <c r="AA423" i="3"/>
  <c r="J422" i="3"/>
  <c r="Z420" i="3"/>
  <c r="B419" i="3"/>
  <c r="L417" i="3"/>
  <c r="AA415" i="3"/>
  <c r="J414" i="3"/>
  <c r="Z412" i="3"/>
  <c r="B411" i="3"/>
  <c r="L409" i="3"/>
  <c r="AA407" i="3"/>
  <c r="J406" i="3"/>
  <c r="Z404" i="3"/>
  <c r="B403" i="3"/>
  <c r="L401" i="3"/>
  <c r="AA399" i="3"/>
  <c r="J398" i="3"/>
  <c r="B892" i="3"/>
  <c r="J770" i="3"/>
  <c r="J722" i="3"/>
  <c r="L702" i="3"/>
  <c r="J689" i="3"/>
  <c r="L676" i="3"/>
  <c r="Z663" i="3"/>
  <c r="AA650" i="3"/>
  <c r="Z650" i="3" s="1"/>
  <c r="B638" i="3"/>
  <c r="J625" i="3"/>
  <c r="L617" i="3"/>
  <c r="B611" i="3"/>
  <c r="Z604" i="3"/>
  <c r="J598" i="3"/>
  <c r="AA591" i="3"/>
  <c r="L585" i="3"/>
  <c r="B579" i="3"/>
  <c r="Z572" i="3"/>
  <c r="J566" i="3"/>
  <c r="AA559" i="3"/>
  <c r="Z555" i="3"/>
  <c r="AA551" i="3"/>
  <c r="J549" i="3"/>
  <c r="AA546" i="3"/>
  <c r="B544" i="3"/>
  <c r="B542" i="3"/>
  <c r="L540" i="3"/>
  <c r="AA538" i="3"/>
  <c r="J537" i="3"/>
  <c r="Z535" i="3"/>
  <c r="B534" i="3"/>
  <c r="L532" i="3"/>
  <c r="AA530" i="3"/>
  <c r="J529" i="3"/>
  <c r="Z527" i="3"/>
  <c r="B526" i="3"/>
  <c r="L524" i="3"/>
  <c r="AA522" i="3"/>
  <c r="J521" i="3"/>
  <c r="Z519" i="3"/>
  <c r="B518" i="3"/>
  <c r="L516" i="3"/>
  <c r="AA514" i="3"/>
  <c r="J513" i="3"/>
  <c r="Z511" i="3"/>
  <c r="B510" i="3"/>
  <c r="L508" i="3"/>
  <c r="AA506" i="3"/>
  <c r="J505" i="3"/>
  <c r="Z503" i="3"/>
  <c r="B502" i="3"/>
  <c r="L500" i="3"/>
  <c r="AA498" i="3"/>
  <c r="J497" i="3"/>
  <c r="Z495" i="3"/>
  <c r="B494" i="3"/>
  <c r="L492" i="3"/>
  <c r="AA490" i="3"/>
  <c r="J489" i="3"/>
  <c r="Z487" i="3"/>
  <c r="B486" i="3"/>
  <c r="L484" i="3"/>
  <c r="AA482" i="3"/>
  <c r="J481" i="3"/>
  <c r="Z479" i="3"/>
  <c r="B478" i="3"/>
  <c r="L476" i="3"/>
  <c r="AA474" i="3"/>
  <c r="J473" i="3"/>
  <c r="Z471" i="3"/>
  <c r="B470" i="3"/>
  <c r="L468" i="3"/>
  <c r="AA466" i="3"/>
  <c r="J465" i="3"/>
  <c r="Z463" i="3"/>
  <c r="B462" i="3"/>
  <c r="L460" i="3"/>
  <c r="AA458" i="3"/>
  <c r="J457" i="3"/>
  <c r="Z455" i="3"/>
  <c r="B454" i="3"/>
  <c r="L452" i="3"/>
  <c r="AA450" i="3"/>
  <c r="J449" i="3"/>
  <c r="Z447" i="3"/>
  <c r="B446" i="3"/>
  <c r="L444" i="3"/>
  <c r="AA442" i="3"/>
  <c r="J441" i="3"/>
  <c r="Z439" i="3"/>
  <c r="B438" i="3"/>
  <c r="L436" i="3"/>
  <c r="AA434" i="3"/>
  <c r="J433" i="3"/>
  <c r="Z431" i="3"/>
  <c r="B430" i="3"/>
  <c r="L428" i="3"/>
  <c r="AA426" i="3"/>
  <c r="J425" i="3"/>
  <c r="Z423" i="3"/>
  <c r="B422" i="3"/>
  <c r="L420" i="3"/>
  <c r="AA418" i="3"/>
  <c r="J417" i="3"/>
  <c r="Z415" i="3"/>
  <c r="B414" i="3"/>
  <c r="L412" i="3"/>
  <c r="AA410" i="3"/>
  <c r="J409" i="3"/>
  <c r="Z407" i="3"/>
  <c r="B406" i="3"/>
  <c r="L404" i="3"/>
  <c r="AA402" i="3"/>
  <c r="J401" i="3"/>
  <c r="Z399" i="3"/>
  <c r="B398" i="3"/>
  <c r="L396" i="3"/>
  <c r="AA394" i="3"/>
  <c r="J393" i="3"/>
  <c r="L866" i="3"/>
  <c r="AA763" i="3"/>
  <c r="Z763" i="3" s="1"/>
  <c r="B719" i="3"/>
  <c r="Z700" i="3"/>
  <c r="Z687" i="3"/>
  <c r="AA674" i="3"/>
  <c r="Z674" i="3" s="1"/>
  <c r="B662" i="3"/>
  <c r="J649" i="3"/>
  <c r="L636" i="3"/>
  <c r="Z623" i="3"/>
  <c r="J617" i="3"/>
  <c r="AA610" i="3"/>
  <c r="Z610" i="3" s="1"/>
  <c r="L604" i="3"/>
  <c r="B598" i="3"/>
  <c r="Z591" i="3"/>
  <c r="J585" i="3"/>
  <c r="AA578" i="3"/>
  <c r="Z578" i="3" s="1"/>
  <c r="L572" i="3"/>
  <c r="B566" i="3"/>
  <c r="Z559" i="3"/>
  <c r="B555" i="3"/>
  <c r="Z551" i="3"/>
  <c r="AA548" i="3"/>
  <c r="Z546" i="3"/>
  <c r="AA543" i="3"/>
  <c r="AA541" i="3"/>
  <c r="J540" i="3"/>
  <c r="Z538" i="3"/>
  <c r="B537" i="3"/>
  <c r="L535" i="3"/>
  <c r="AA533" i="3"/>
  <c r="J532" i="3"/>
  <c r="Z530" i="3"/>
  <c r="B529" i="3"/>
  <c r="L527" i="3"/>
  <c r="AA525" i="3"/>
  <c r="J524" i="3"/>
  <c r="Z522" i="3"/>
  <c r="B521" i="3"/>
  <c r="L519" i="3"/>
  <c r="AA517" i="3"/>
  <c r="J516" i="3"/>
  <c r="Z514" i="3"/>
  <c r="B513" i="3"/>
  <c r="L511" i="3"/>
  <c r="AA509" i="3"/>
  <c r="J508" i="3"/>
  <c r="Z506" i="3"/>
  <c r="B505" i="3"/>
  <c r="L503" i="3"/>
  <c r="AA501" i="3"/>
  <c r="J500" i="3"/>
  <c r="Z498" i="3"/>
  <c r="B497" i="3"/>
  <c r="L495" i="3"/>
  <c r="AA493" i="3"/>
  <c r="J492" i="3"/>
  <c r="Z490" i="3"/>
  <c r="B489" i="3"/>
  <c r="L487" i="3"/>
  <c r="AA485" i="3"/>
  <c r="J484" i="3"/>
  <c r="Z482" i="3"/>
  <c r="B481" i="3"/>
  <c r="L479" i="3"/>
  <c r="AA477" i="3"/>
  <c r="J476" i="3"/>
  <c r="Z474" i="3"/>
  <c r="B473" i="3"/>
  <c r="L471" i="3"/>
  <c r="AA469" i="3"/>
  <c r="J468" i="3"/>
  <c r="Z466" i="3"/>
  <c r="B465" i="3"/>
  <c r="L463" i="3"/>
  <c r="Z823" i="3"/>
  <c r="B751" i="3"/>
  <c r="AA712" i="3"/>
  <c r="Z712" i="3" s="1"/>
  <c r="J697" i="3"/>
  <c r="L684" i="3"/>
  <c r="Z671" i="3"/>
  <c r="AA658" i="3"/>
  <c r="Z658" i="3" s="1"/>
  <c r="B646" i="3"/>
  <c r="J633" i="3"/>
  <c r="B622" i="3"/>
  <c r="J609" i="3"/>
  <c r="AA602" i="3"/>
  <c r="Z602" i="3" s="1"/>
  <c r="L596" i="3"/>
  <c r="B590" i="3"/>
  <c r="J577" i="3"/>
  <c r="AA570" i="3"/>
  <c r="Z570" i="3" s="1"/>
  <c r="L564" i="3"/>
  <c r="J558" i="3"/>
  <c r="B554" i="3"/>
  <c r="AA550" i="3"/>
  <c r="Z550" i="3" s="1"/>
  <c r="L548" i="3"/>
  <c r="Z545" i="3"/>
  <c r="L543" i="3"/>
  <c r="L541" i="3"/>
  <c r="AA539" i="3"/>
  <c r="J538" i="3"/>
  <c r="B535" i="3"/>
  <c r="L533" i="3"/>
  <c r="AA531" i="3"/>
  <c r="J530" i="3"/>
  <c r="B527" i="3"/>
  <c r="L525" i="3"/>
  <c r="AA523" i="3"/>
  <c r="J522" i="3"/>
  <c r="B519" i="3"/>
  <c r="L517" i="3"/>
  <c r="AA515" i="3"/>
  <c r="J514" i="3"/>
  <c r="B511" i="3"/>
  <c r="L509" i="3"/>
  <c r="AA507" i="3"/>
  <c r="J506" i="3"/>
  <c r="B503" i="3"/>
  <c r="L501" i="3"/>
  <c r="AA499" i="3"/>
  <c r="J498" i="3"/>
  <c r="B495" i="3"/>
  <c r="L493" i="3"/>
  <c r="AA491" i="3"/>
  <c r="J490" i="3"/>
  <c r="B487" i="3"/>
  <c r="L485" i="3"/>
  <c r="AA483" i="3"/>
  <c r="J482" i="3"/>
  <c r="B479" i="3"/>
  <c r="L477" i="3"/>
  <c r="AA475" i="3"/>
  <c r="J474" i="3"/>
  <c r="B471" i="3"/>
  <c r="L469" i="3"/>
  <c r="AA467" i="3"/>
  <c r="J466" i="3"/>
  <c r="B463" i="3"/>
  <c r="L461" i="3"/>
  <c r="AA459" i="3"/>
  <c r="J458" i="3"/>
  <c r="B455" i="3"/>
  <c r="L453" i="3"/>
  <c r="AA451" i="3"/>
  <c r="J450" i="3"/>
  <c r="B447" i="3"/>
  <c r="L445" i="3"/>
  <c r="AA443" i="3"/>
  <c r="J442" i="3"/>
  <c r="B439" i="3"/>
  <c r="L437" i="3"/>
  <c r="AA435" i="3"/>
  <c r="J434" i="3"/>
  <c r="B431" i="3"/>
  <c r="L429" i="3"/>
  <c r="AA427" i="3"/>
  <c r="J426" i="3"/>
  <c r="B423" i="3"/>
  <c r="L421" i="3"/>
  <c r="AA419" i="3"/>
  <c r="J418" i="3"/>
  <c r="B415" i="3"/>
  <c r="L413" i="3"/>
  <c r="AA411" i="3"/>
  <c r="J410" i="3"/>
  <c r="B407" i="3"/>
  <c r="L405" i="3"/>
  <c r="AA403" i="3"/>
  <c r="J402" i="3"/>
  <c r="B399" i="3"/>
  <c r="L397" i="3"/>
  <c r="AA395" i="3"/>
  <c r="J394" i="3"/>
  <c r="B391" i="3"/>
  <c r="L389" i="3"/>
  <c r="AA387" i="3"/>
  <c r="J386" i="3"/>
  <c r="B383" i="3"/>
  <c r="L381" i="3"/>
  <c r="AA379" i="3"/>
  <c r="J378" i="3"/>
  <c r="Z805" i="3"/>
  <c r="Z744" i="3"/>
  <c r="J710" i="3"/>
  <c r="Z695" i="3"/>
  <c r="AA682" i="3"/>
  <c r="Z682" i="3" s="1"/>
  <c r="B670" i="3"/>
  <c r="J657" i="3"/>
  <c r="L644" i="3"/>
  <c r="Z631" i="3"/>
  <c r="Z620" i="3"/>
  <c r="J614" i="3"/>
  <c r="AA607" i="3"/>
  <c r="Z607" i="3" s="1"/>
  <c r="L601" i="3"/>
  <c r="B595" i="3"/>
  <c r="Z588" i="3"/>
  <c r="J582" i="3"/>
  <c r="AA575" i="3"/>
  <c r="Z575" i="3" s="1"/>
  <c r="L569" i="3"/>
  <c r="B563" i="3"/>
  <c r="B558" i="3"/>
  <c r="L553" i="3"/>
  <c r="L550" i="3"/>
  <c r="J548" i="3"/>
  <c r="L545" i="3"/>
  <c r="B543" i="3"/>
  <c r="J541" i="3"/>
  <c r="Z539" i="3"/>
  <c r="B538" i="3"/>
  <c r="L536" i="3"/>
  <c r="AA534" i="3"/>
  <c r="Z534" i="3" s="1"/>
  <c r="J533" i="3"/>
  <c r="Z531" i="3"/>
  <c r="B530" i="3"/>
  <c r="L528" i="3"/>
  <c r="AA526" i="3"/>
  <c r="Z526" i="3" s="1"/>
  <c r="J525" i="3"/>
  <c r="Z523" i="3"/>
  <c r="B522" i="3"/>
  <c r="L520" i="3"/>
  <c r="AA518" i="3"/>
  <c r="Z518" i="3" s="1"/>
  <c r="J517" i="3"/>
  <c r="Z515" i="3"/>
  <c r="B514" i="3"/>
  <c r="L512" i="3"/>
  <c r="AA510" i="3"/>
  <c r="Z510" i="3" s="1"/>
  <c r="J509" i="3"/>
  <c r="Z507" i="3"/>
  <c r="B506" i="3"/>
  <c r="L504" i="3"/>
  <c r="AA502" i="3"/>
  <c r="Z502" i="3" s="1"/>
  <c r="J501" i="3"/>
  <c r="Z499" i="3"/>
  <c r="B498" i="3"/>
  <c r="L496" i="3"/>
  <c r="AA494" i="3"/>
  <c r="Z494" i="3" s="1"/>
  <c r="J493" i="3"/>
  <c r="Z491" i="3"/>
  <c r="B490" i="3"/>
  <c r="L488" i="3"/>
  <c r="AA486" i="3"/>
  <c r="Z486" i="3" s="1"/>
  <c r="J485" i="3"/>
  <c r="Z483" i="3"/>
  <c r="B482" i="3"/>
  <c r="L480" i="3"/>
  <c r="AA478" i="3"/>
  <c r="Z478" i="3" s="1"/>
  <c r="J477" i="3"/>
  <c r="Z475" i="3"/>
  <c r="B474" i="3"/>
  <c r="L472" i="3"/>
  <c r="AA470" i="3"/>
  <c r="Z470" i="3" s="1"/>
  <c r="J469" i="3"/>
  <c r="Z467" i="3"/>
  <c r="B466" i="3"/>
  <c r="L464" i="3"/>
  <c r="AA462" i="3"/>
  <c r="Z462" i="3" s="1"/>
  <c r="J461" i="3"/>
  <c r="Z459" i="3"/>
  <c r="B458" i="3"/>
  <c r="L456" i="3"/>
  <c r="AA454" i="3"/>
  <c r="Z454" i="3" s="1"/>
  <c r="J453" i="3"/>
  <c r="Z451" i="3"/>
  <c r="B450" i="3"/>
  <c r="L448" i="3"/>
  <c r="AA446" i="3"/>
  <c r="Z446" i="3" s="1"/>
  <c r="J445" i="3"/>
  <c r="Z443" i="3"/>
  <c r="B442" i="3"/>
  <c r="L440" i="3"/>
  <c r="AA438" i="3"/>
  <c r="Z438" i="3" s="1"/>
  <c r="J437" i="3"/>
  <c r="Z435" i="3"/>
  <c r="B434" i="3"/>
  <c r="L432" i="3"/>
  <c r="AA430" i="3"/>
  <c r="Z430" i="3" s="1"/>
  <c r="J429" i="3"/>
  <c r="Z427" i="3"/>
  <c r="B426" i="3"/>
  <c r="L424" i="3"/>
  <c r="AA422" i="3"/>
  <c r="Z422" i="3" s="1"/>
  <c r="J421" i="3"/>
  <c r="Z419" i="3"/>
  <c r="B418" i="3"/>
  <c r="L416" i="3"/>
  <c r="AA414" i="3"/>
  <c r="Z414" i="3" s="1"/>
  <c r="J413" i="3"/>
  <c r="Z411" i="3"/>
  <c r="B410" i="3"/>
  <c r="L408" i="3"/>
  <c r="AA406" i="3"/>
  <c r="Z406" i="3" s="1"/>
  <c r="J405" i="3"/>
  <c r="Z403" i="3"/>
  <c r="B402" i="3"/>
  <c r="L400" i="3"/>
  <c r="AA398" i="3"/>
  <c r="Z398" i="3" s="1"/>
  <c r="J397" i="3"/>
  <c r="Z395" i="3"/>
  <c r="B394" i="3"/>
  <c r="L392" i="3"/>
  <c r="AA390" i="3"/>
  <c r="Z390" i="3" s="1"/>
  <c r="J389" i="3"/>
  <c r="Z387" i="3"/>
  <c r="B386" i="3"/>
  <c r="L384" i="3"/>
  <c r="AA382" i="3"/>
  <c r="Z382" i="3" s="1"/>
  <c r="J381" i="3"/>
  <c r="Z379" i="3"/>
  <c r="J844" i="3"/>
  <c r="AA634" i="3"/>
  <c r="Z634" i="3" s="1"/>
  <c r="L577" i="3"/>
  <c r="Z543" i="3"/>
  <c r="L530" i="3"/>
  <c r="Z517" i="3"/>
  <c r="AA504" i="3"/>
  <c r="Z504" i="3" s="1"/>
  <c r="B492" i="3"/>
  <c r="J479" i="3"/>
  <c r="L466" i="3"/>
  <c r="L458" i="3"/>
  <c r="B452" i="3"/>
  <c r="J439" i="3"/>
  <c r="AA432" i="3"/>
  <c r="Z432" i="3" s="1"/>
  <c r="L426" i="3"/>
  <c r="B420" i="3"/>
  <c r="J407" i="3"/>
  <c r="AA400" i="3"/>
  <c r="Z400" i="3" s="1"/>
  <c r="B395" i="3"/>
  <c r="L391" i="3"/>
  <c r="J388" i="3"/>
  <c r="B385" i="3"/>
  <c r="AA381" i="3"/>
  <c r="J379" i="3"/>
  <c r="L377" i="3"/>
  <c r="AA375" i="3"/>
  <c r="J374" i="3"/>
  <c r="B371" i="3"/>
  <c r="L369" i="3"/>
  <c r="AA367" i="3"/>
  <c r="J366" i="3"/>
  <c r="B363" i="3"/>
  <c r="L361" i="3"/>
  <c r="AA359" i="3"/>
  <c r="J358" i="3"/>
  <c r="B355" i="3"/>
  <c r="L353" i="3"/>
  <c r="AA351" i="3"/>
  <c r="J350" i="3"/>
  <c r="B347" i="3"/>
  <c r="L345" i="3"/>
  <c r="AA343" i="3"/>
  <c r="J342" i="3"/>
  <c r="B339" i="3"/>
  <c r="L337" i="3"/>
  <c r="AA335" i="3"/>
  <c r="J334" i="3"/>
  <c r="B331" i="3"/>
  <c r="L329" i="3"/>
  <c r="AA327" i="3"/>
  <c r="J326" i="3"/>
  <c r="B323" i="3"/>
  <c r="L321" i="3"/>
  <c r="AA319" i="3"/>
  <c r="J318" i="3"/>
  <c r="B315" i="3"/>
  <c r="L313" i="3"/>
  <c r="AA311" i="3"/>
  <c r="J310" i="3"/>
  <c r="B307" i="3"/>
  <c r="L305" i="3"/>
  <c r="AA303" i="3"/>
  <c r="J302" i="3"/>
  <c r="B299" i="3"/>
  <c r="L297" i="3"/>
  <c r="AA295" i="3"/>
  <c r="J294" i="3"/>
  <c r="B291" i="3"/>
  <c r="L289" i="3"/>
  <c r="AA287" i="3"/>
  <c r="J286" i="3"/>
  <c r="B283" i="3"/>
  <c r="L281" i="3"/>
  <c r="AA279" i="3"/>
  <c r="J278" i="3"/>
  <c r="L757" i="3"/>
  <c r="J622" i="3"/>
  <c r="B571" i="3"/>
  <c r="Z541" i="3"/>
  <c r="AA528" i="3"/>
  <c r="Z528" i="3" s="1"/>
  <c r="B516" i="3"/>
  <c r="J503" i="3"/>
  <c r="L490" i="3"/>
  <c r="Z477" i="3"/>
  <c r="AA464" i="3"/>
  <c r="Z464" i="3" s="1"/>
  <c r="B457" i="3"/>
  <c r="Z450" i="3"/>
  <c r="J444" i="3"/>
  <c r="AA437" i="3"/>
  <c r="L431" i="3"/>
  <c r="B425" i="3"/>
  <c r="Z418" i="3"/>
  <c r="J412" i="3"/>
  <c r="AA405" i="3"/>
  <c r="L399" i="3"/>
  <c r="Z394" i="3"/>
  <c r="J391" i="3"/>
  <c r="B388" i="3"/>
  <c r="AA384" i="3"/>
  <c r="Z384" i="3" s="1"/>
  <c r="Z381" i="3"/>
  <c r="B379" i="3"/>
  <c r="J377" i="3"/>
  <c r="Z375" i="3"/>
  <c r="B374" i="3"/>
  <c r="L372" i="3"/>
  <c r="AA370" i="3"/>
  <c r="J369" i="3"/>
  <c r="Z367" i="3"/>
  <c r="B366" i="3"/>
  <c r="L364" i="3"/>
  <c r="AA362" i="3"/>
  <c r="J361" i="3"/>
  <c r="Z359" i="3"/>
  <c r="B358" i="3"/>
  <c r="L356" i="3"/>
  <c r="AA354" i="3"/>
  <c r="J353" i="3"/>
  <c r="Z351" i="3"/>
  <c r="B350" i="3"/>
  <c r="L348" i="3"/>
  <c r="AA346" i="3"/>
  <c r="J345" i="3"/>
  <c r="Z343" i="3"/>
  <c r="B342" i="3"/>
  <c r="L340" i="3"/>
  <c r="AA338" i="3"/>
  <c r="J337" i="3"/>
  <c r="Z335" i="3"/>
  <c r="B334" i="3"/>
  <c r="L332" i="3"/>
  <c r="AA330" i="3"/>
  <c r="J329" i="3"/>
  <c r="Z327" i="3"/>
  <c r="B326" i="3"/>
  <c r="L324" i="3"/>
  <c r="AA322" i="3"/>
  <c r="J321" i="3"/>
  <c r="Z319" i="3"/>
  <c r="B318" i="3"/>
  <c r="L316" i="3"/>
  <c r="AA314" i="3"/>
  <c r="J313" i="3"/>
  <c r="Z311" i="3"/>
  <c r="B310" i="3"/>
  <c r="L308" i="3"/>
  <c r="AA306" i="3"/>
  <c r="J305" i="3"/>
  <c r="Z303" i="3"/>
  <c r="B302" i="3"/>
  <c r="L300" i="3"/>
  <c r="AA298" i="3"/>
  <c r="J297" i="3"/>
  <c r="Z295" i="3"/>
  <c r="B294" i="3"/>
  <c r="L292" i="3"/>
  <c r="AA290" i="3"/>
  <c r="J289" i="3"/>
  <c r="Z287" i="3"/>
  <c r="B286" i="3"/>
  <c r="L284" i="3"/>
  <c r="AA282" i="3"/>
  <c r="J281" i="3"/>
  <c r="Z279" i="3"/>
  <c r="B278" i="3"/>
  <c r="L276" i="3"/>
  <c r="AA274" i="3"/>
  <c r="J273" i="3"/>
  <c r="B270" i="3"/>
  <c r="L268" i="3"/>
  <c r="AA266" i="3"/>
  <c r="J265" i="3"/>
  <c r="B262" i="3"/>
  <c r="L260" i="3"/>
  <c r="AA258" i="3"/>
  <c r="J257" i="3"/>
  <c r="B254" i="3"/>
  <c r="L252" i="3"/>
  <c r="AA250" i="3"/>
  <c r="J249" i="3"/>
  <c r="B246" i="3"/>
  <c r="L244" i="3"/>
  <c r="AA242" i="3"/>
  <c r="J241" i="3"/>
  <c r="B238" i="3"/>
  <c r="L236" i="3"/>
  <c r="AA234" i="3"/>
  <c r="J233" i="3"/>
  <c r="B230" i="3"/>
  <c r="L228" i="3"/>
  <c r="AA226" i="3"/>
  <c r="J225" i="3"/>
  <c r="B222" i="3"/>
  <c r="L220" i="3"/>
  <c r="AA218" i="3"/>
  <c r="J217" i="3"/>
  <c r="B214" i="3"/>
  <c r="L212" i="3"/>
  <c r="AA210" i="3"/>
  <c r="J209" i="3"/>
  <c r="AA715" i="3"/>
  <c r="Z715" i="3" s="1"/>
  <c r="AA615" i="3"/>
  <c r="Z615" i="3" s="1"/>
  <c r="Z564" i="3"/>
  <c r="B540" i="3"/>
  <c r="J527" i="3"/>
  <c r="L514" i="3"/>
  <c r="Z501" i="3"/>
  <c r="AA488" i="3"/>
  <c r="Z488" i="3" s="1"/>
  <c r="B476" i="3"/>
  <c r="J463" i="3"/>
  <c r="AA456" i="3"/>
  <c r="Z456" i="3" s="1"/>
  <c r="L450" i="3"/>
  <c r="B444" i="3"/>
  <c r="Z437" i="3"/>
  <c r="J431" i="3"/>
  <c r="AA424" i="3"/>
  <c r="Z424" i="3" s="1"/>
  <c r="L418" i="3"/>
  <c r="B412" i="3"/>
  <c r="Z405" i="3"/>
  <c r="J399" i="3"/>
  <c r="L394" i="3"/>
  <c r="J390" i="3"/>
  <c r="B387" i="3"/>
  <c r="AA383" i="3"/>
  <c r="B381" i="3"/>
  <c r="AA378" i="3"/>
  <c r="B377" i="3"/>
  <c r="L375" i="3"/>
  <c r="AA373" i="3"/>
  <c r="J372" i="3"/>
  <c r="Z370" i="3"/>
  <c r="B369" i="3"/>
  <c r="L367" i="3"/>
  <c r="AA365" i="3"/>
  <c r="J364" i="3"/>
  <c r="Z362" i="3"/>
  <c r="B361" i="3"/>
  <c r="L359" i="3"/>
  <c r="AA357" i="3"/>
  <c r="J356" i="3"/>
  <c r="Z354" i="3"/>
  <c r="B353" i="3"/>
  <c r="L351" i="3"/>
  <c r="AA349" i="3"/>
  <c r="J348" i="3"/>
  <c r="Z346" i="3"/>
  <c r="B345" i="3"/>
  <c r="L343" i="3"/>
  <c r="AA341" i="3"/>
  <c r="J340" i="3"/>
  <c r="Z338" i="3"/>
  <c r="B337" i="3"/>
  <c r="L335" i="3"/>
  <c r="AA333" i="3"/>
  <c r="J332" i="3"/>
  <c r="Z330" i="3"/>
  <c r="B329" i="3"/>
  <c r="L327" i="3"/>
  <c r="AA325" i="3"/>
  <c r="J324" i="3"/>
  <c r="Z322" i="3"/>
  <c r="B321" i="3"/>
  <c r="L319" i="3"/>
  <c r="AA317" i="3"/>
  <c r="J316" i="3"/>
  <c r="Z314" i="3"/>
  <c r="B313" i="3"/>
  <c r="L311" i="3"/>
  <c r="AA309" i="3"/>
  <c r="J308" i="3"/>
  <c r="Z306" i="3"/>
  <c r="B305" i="3"/>
  <c r="L303" i="3"/>
  <c r="AA301" i="3"/>
  <c r="J300" i="3"/>
  <c r="Z298" i="3"/>
  <c r="B297" i="3"/>
  <c r="L295" i="3"/>
  <c r="AA293" i="3"/>
  <c r="J292" i="3"/>
  <c r="Z290" i="3"/>
  <c r="B289" i="3"/>
  <c r="L287" i="3"/>
  <c r="AA285" i="3"/>
  <c r="J284" i="3"/>
  <c r="Z282" i="3"/>
  <c r="B281" i="3"/>
  <c r="L279" i="3"/>
  <c r="AA277" i="3"/>
  <c r="J276" i="3"/>
  <c r="Z274" i="3"/>
  <c r="B273" i="3"/>
  <c r="L271" i="3"/>
  <c r="AA269" i="3"/>
  <c r="J268" i="3"/>
  <c r="Z266" i="3"/>
  <c r="B265" i="3"/>
  <c r="L263" i="3"/>
  <c r="AA261" i="3"/>
  <c r="J260" i="3"/>
  <c r="Z258" i="3"/>
  <c r="B257" i="3"/>
  <c r="L255" i="3"/>
  <c r="AA253" i="3"/>
  <c r="J252" i="3"/>
  <c r="Z250" i="3"/>
  <c r="B249" i="3"/>
  <c r="L247" i="3"/>
  <c r="AA245" i="3"/>
  <c r="J244" i="3"/>
  <c r="Z242" i="3"/>
  <c r="B241" i="3"/>
  <c r="L239" i="3"/>
  <c r="AA237" i="3"/>
  <c r="J236" i="3"/>
  <c r="Z234" i="3"/>
  <c r="B233" i="3"/>
  <c r="L231" i="3"/>
  <c r="AA229" i="3"/>
  <c r="J228" i="3"/>
  <c r="Z226" i="3"/>
  <c r="B225" i="3"/>
  <c r="L223" i="3"/>
  <c r="AA221" i="3"/>
  <c r="J220" i="3"/>
  <c r="Z218" i="3"/>
  <c r="AA698" i="3"/>
  <c r="Z698" i="3" s="1"/>
  <c r="L609" i="3"/>
  <c r="AA558" i="3"/>
  <c r="Z558" i="3" s="1"/>
  <c r="L538" i="3"/>
  <c r="Z525" i="3"/>
  <c r="AA512" i="3"/>
  <c r="Z512" i="3" s="1"/>
  <c r="B500" i="3"/>
  <c r="J487" i="3"/>
  <c r="L474" i="3"/>
  <c r="AA461" i="3"/>
  <c r="L455" i="3"/>
  <c r="B449" i="3"/>
  <c r="Z442" i="3"/>
  <c r="J436" i="3"/>
  <c r="AA429" i="3"/>
  <c r="L423" i="3"/>
  <c r="B417" i="3"/>
  <c r="Z410" i="3"/>
  <c r="J404" i="3"/>
  <c r="AA397" i="3"/>
  <c r="L393" i="3"/>
  <c r="B390" i="3"/>
  <c r="AA386" i="3"/>
  <c r="Z383" i="3"/>
  <c r="Z380" i="3"/>
  <c r="Z378" i="3"/>
  <c r="AA376" i="3"/>
  <c r="J375" i="3"/>
  <c r="Z373" i="3"/>
  <c r="B372" i="3"/>
  <c r="L370" i="3"/>
  <c r="AA368" i="3"/>
  <c r="J367" i="3"/>
  <c r="Z365" i="3"/>
  <c r="B364" i="3"/>
  <c r="L362" i="3"/>
  <c r="AA360" i="3"/>
  <c r="J359" i="3"/>
  <c r="Z357" i="3"/>
  <c r="B356" i="3"/>
  <c r="L354" i="3"/>
  <c r="AA352" i="3"/>
  <c r="J351" i="3"/>
  <c r="Z349" i="3"/>
  <c r="B348" i="3"/>
  <c r="L346" i="3"/>
  <c r="AA344" i="3"/>
  <c r="J343" i="3"/>
  <c r="Z341" i="3"/>
  <c r="B340" i="3"/>
  <c r="L338" i="3"/>
  <c r="AA336" i="3"/>
  <c r="J335" i="3"/>
  <c r="Z333" i="3"/>
  <c r="B332" i="3"/>
  <c r="L330" i="3"/>
  <c r="AA328" i="3"/>
  <c r="J327" i="3"/>
  <c r="Z325" i="3"/>
  <c r="B324" i="3"/>
  <c r="L322" i="3"/>
  <c r="AA320" i="3"/>
  <c r="J319" i="3"/>
  <c r="Z317" i="3"/>
  <c r="B316" i="3"/>
  <c r="L314" i="3"/>
  <c r="AA312" i="3"/>
  <c r="J311" i="3"/>
  <c r="Z309" i="3"/>
  <c r="B308" i="3"/>
  <c r="L306" i="3"/>
  <c r="AA304" i="3"/>
  <c r="J303" i="3"/>
  <c r="Z301" i="3"/>
  <c r="B300" i="3"/>
  <c r="L298" i="3"/>
  <c r="AA296" i="3"/>
  <c r="J295" i="3"/>
  <c r="Z293" i="3"/>
  <c r="B292" i="3"/>
  <c r="L290" i="3"/>
  <c r="AA288" i="3"/>
  <c r="J287" i="3"/>
  <c r="Z285" i="3"/>
  <c r="B284" i="3"/>
  <c r="L282" i="3"/>
  <c r="AA280" i="3"/>
  <c r="J279" i="3"/>
  <c r="Z277" i="3"/>
  <c r="B276" i="3"/>
  <c r="L274" i="3"/>
  <c r="AA272" i="3"/>
  <c r="J271" i="3"/>
  <c r="Z269" i="3"/>
  <c r="B268" i="3"/>
  <c r="L266" i="3"/>
  <c r="AA264" i="3"/>
  <c r="J263" i="3"/>
  <c r="Z261" i="3"/>
  <c r="B260" i="3"/>
  <c r="L258" i="3"/>
  <c r="AA256" i="3"/>
  <c r="J255" i="3"/>
  <c r="Z253" i="3"/>
  <c r="B252" i="3"/>
  <c r="L250" i="3"/>
  <c r="AA248" i="3"/>
  <c r="J247" i="3"/>
  <c r="Z245" i="3"/>
  <c r="B244" i="3"/>
  <c r="L242" i="3"/>
  <c r="AA240" i="3"/>
  <c r="J239" i="3"/>
  <c r="Z237" i="3"/>
  <c r="B236" i="3"/>
  <c r="L234" i="3"/>
  <c r="AA232" i="3"/>
  <c r="J231" i="3"/>
  <c r="Z229" i="3"/>
  <c r="B228" i="3"/>
  <c r="L226" i="3"/>
  <c r="AA224" i="3"/>
  <c r="J223" i="3"/>
  <c r="Z221" i="3"/>
  <c r="B686" i="3"/>
  <c r="B603" i="3"/>
  <c r="AA554" i="3"/>
  <c r="Z554" i="3" s="1"/>
  <c r="AA536" i="3"/>
  <c r="Z536" i="3" s="1"/>
  <c r="B524" i="3"/>
  <c r="J511" i="3"/>
  <c r="L498" i="3"/>
  <c r="Z485" i="3"/>
  <c r="AA472" i="3"/>
  <c r="Z472" i="3" s="1"/>
  <c r="Z461" i="3"/>
  <c r="J455" i="3"/>
  <c r="AA448" i="3"/>
  <c r="Z448" i="3" s="1"/>
  <c r="L442" i="3"/>
  <c r="B436" i="3"/>
  <c r="Z429" i="3"/>
  <c r="J423" i="3"/>
  <c r="AA416" i="3"/>
  <c r="Z416" i="3" s="1"/>
  <c r="L410" i="3"/>
  <c r="B404" i="3"/>
  <c r="Z397" i="3"/>
  <c r="B393" i="3"/>
  <c r="AA389" i="3"/>
  <c r="Z386" i="3"/>
  <c r="L383" i="3"/>
  <c r="L380" i="3"/>
  <c r="L378" i="3"/>
  <c r="Z376" i="3"/>
  <c r="B375" i="3"/>
  <c r="L373" i="3"/>
  <c r="AA371" i="3"/>
  <c r="J370" i="3"/>
  <c r="Z368" i="3"/>
  <c r="B367" i="3"/>
  <c r="L365" i="3"/>
  <c r="AA363" i="3"/>
  <c r="J362" i="3"/>
  <c r="Z360" i="3"/>
  <c r="B359" i="3"/>
  <c r="L357" i="3"/>
  <c r="AA355" i="3"/>
  <c r="J354" i="3"/>
  <c r="Z352" i="3"/>
  <c r="B351" i="3"/>
  <c r="L349" i="3"/>
  <c r="AA347" i="3"/>
  <c r="J346" i="3"/>
  <c r="Z344" i="3"/>
  <c r="B343" i="3"/>
  <c r="L341" i="3"/>
  <c r="AA339" i="3"/>
  <c r="J338" i="3"/>
  <c r="Z336" i="3"/>
  <c r="B335" i="3"/>
  <c r="L333" i="3"/>
  <c r="AA331" i="3"/>
  <c r="J330" i="3"/>
  <c r="Z328" i="3"/>
  <c r="B327" i="3"/>
  <c r="L325" i="3"/>
  <c r="AA323" i="3"/>
  <c r="J322" i="3"/>
  <c r="Z320" i="3"/>
  <c r="B319" i="3"/>
  <c r="L317" i="3"/>
  <c r="AA315" i="3"/>
  <c r="J314" i="3"/>
  <c r="Z312" i="3"/>
  <c r="B311" i="3"/>
  <c r="L309" i="3"/>
  <c r="AA307" i="3"/>
  <c r="J306" i="3"/>
  <c r="Z304" i="3"/>
  <c r="B303" i="3"/>
  <c r="L301" i="3"/>
  <c r="AA299" i="3"/>
  <c r="J298" i="3"/>
  <c r="Z296" i="3"/>
  <c r="B295" i="3"/>
  <c r="L293" i="3"/>
  <c r="AA291" i="3"/>
  <c r="J290" i="3"/>
  <c r="Z288" i="3"/>
  <c r="B287" i="3"/>
  <c r="L285" i="3"/>
  <c r="AA283" i="3"/>
  <c r="J282" i="3"/>
  <c r="Z280" i="3"/>
  <c r="B279" i="3"/>
  <c r="L277" i="3"/>
  <c r="AA275" i="3"/>
  <c r="J274" i="3"/>
  <c r="Z272" i="3"/>
  <c r="B271" i="3"/>
  <c r="L269" i="3"/>
  <c r="AA267" i="3"/>
  <c r="J266" i="3"/>
  <c r="Z264" i="3"/>
  <c r="B263" i="3"/>
  <c r="L261" i="3"/>
  <c r="AA259" i="3"/>
  <c r="J258" i="3"/>
  <c r="Z256" i="3"/>
  <c r="B255" i="3"/>
  <c r="L253" i="3"/>
  <c r="AA251" i="3"/>
  <c r="J250" i="3"/>
  <c r="Z248" i="3"/>
  <c r="B247" i="3"/>
  <c r="L245" i="3"/>
  <c r="AA243" i="3"/>
  <c r="J242" i="3"/>
  <c r="Z240" i="3"/>
  <c r="B239" i="3"/>
  <c r="L237" i="3"/>
  <c r="AA235" i="3"/>
  <c r="J234" i="3"/>
  <c r="Z232" i="3"/>
  <c r="B231" i="3"/>
  <c r="L229" i="3"/>
  <c r="AA227" i="3"/>
  <c r="J226" i="3"/>
  <c r="Z224" i="3"/>
  <c r="B223" i="3"/>
  <c r="L221" i="3"/>
  <c r="AA219" i="3"/>
  <c r="J218" i="3"/>
  <c r="L660" i="3"/>
  <c r="J590" i="3"/>
  <c r="Z548" i="3"/>
  <c r="Z533" i="3"/>
  <c r="AA520" i="3"/>
  <c r="Z520" i="3" s="1"/>
  <c r="B508" i="3"/>
  <c r="J495" i="3"/>
  <c r="L482" i="3"/>
  <c r="Z469" i="3"/>
  <c r="B460" i="3"/>
  <c r="J447" i="3"/>
  <c r="AA440" i="3"/>
  <c r="Z440" i="3" s="1"/>
  <c r="L434" i="3"/>
  <c r="B428" i="3"/>
  <c r="J415" i="3"/>
  <c r="AA408" i="3"/>
  <c r="Z408" i="3" s="1"/>
  <c r="L402" i="3"/>
  <c r="J396" i="3"/>
  <c r="AA391" i="3"/>
  <c r="Z388" i="3"/>
  <c r="L385" i="3"/>
  <c r="J382" i="3"/>
  <c r="B380" i="3"/>
  <c r="AA377" i="3"/>
  <c r="J376" i="3"/>
  <c r="B373" i="3"/>
  <c r="L371" i="3"/>
  <c r="AA369" i="3"/>
  <c r="J368" i="3"/>
  <c r="B365" i="3"/>
  <c r="L363" i="3"/>
  <c r="AA361" i="3"/>
  <c r="J360" i="3"/>
  <c r="B357" i="3"/>
  <c r="L355" i="3"/>
  <c r="AA353" i="3"/>
  <c r="J352" i="3"/>
  <c r="B349" i="3"/>
  <c r="L347" i="3"/>
  <c r="AA345" i="3"/>
  <c r="J344" i="3"/>
  <c r="B341" i="3"/>
  <c r="L339" i="3"/>
  <c r="AA337" i="3"/>
  <c r="J336" i="3"/>
  <c r="B333" i="3"/>
  <c r="L331" i="3"/>
  <c r="AA329" i="3"/>
  <c r="J328" i="3"/>
  <c r="B325" i="3"/>
  <c r="L323" i="3"/>
  <c r="AA321" i="3"/>
  <c r="J320" i="3"/>
  <c r="B317" i="3"/>
  <c r="L315" i="3"/>
  <c r="AA313" i="3"/>
  <c r="J312" i="3"/>
  <c r="B309" i="3"/>
  <c r="L307" i="3"/>
  <c r="AA305" i="3"/>
  <c r="J304" i="3"/>
  <c r="B301" i="3"/>
  <c r="L299" i="3"/>
  <c r="AA297" i="3"/>
  <c r="J296" i="3"/>
  <c r="B293" i="3"/>
  <c r="L291" i="3"/>
  <c r="AA289" i="3"/>
  <c r="J288" i="3"/>
  <c r="B285" i="3"/>
  <c r="L283" i="3"/>
  <c r="AA281" i="3"/>
  <c r="J280" i="3"/>
  <c r="B277" i="3"/>
  <c r="L275" i="3"/>
  <c r="AA273" i="3"/>
  <c r="J272" i="3"/>
  <c r="B269" i="3"/>
  <c r="L267" i="3"/>
  <c r="AA265" i="3"/>
  <c r="J264" i="3"/>
  <c r="B261" i="3"/>
  <c r="L259" i="3"/>
  <c r="AA257" i="3"/>
  <c r="J256" i="3"/>
  <c r="B253" i="3"/>
  <c r="L251" i="3"/>
  <c r="AA249" i="3"/>
  <c r="J248" i="3"/>
  <c r="B245" i="3"/>
  <c r="L243" i="3"/>
  <c r="AA241" i="3"/>
  <c r="J240" i="3"/>
  <c r="B237" i="3"/>
  <c r="L235" i="3"/>
  <c r="AA233" i="3"/>
  <c r="J232" i="3"/>
  <c r="B229" i="3"/>
  <c r="L227" i="3"/>
  <c r="AA225" i="3"/>
  <c r="J224" i="3"/>
  <c r="B221" i="3"/>
  <c r="L219" i="3"/>
  <c r="AA217" i="3"/>
  <c r="J216" i="3"/>
  <c r="B213" i="3"/>
  <c r="L211" i="3"/>
  <c r="AA209" i="3"/>
  <c r="J208" i="3"/>
  <c r="B205" i="3"/>
  <c r="Z647" i="3"/>
  <c r="AA583" i="3"/>
  <c r="Z583" i="3" s="1"/>
  <c r="B546" i="3"/>
  <c r="B532" i="3"/>
  <c r="J519" i="3"/>
  <c r="L506" i="3"/>
  <c r="Z493" i="3"/>
  <c r="AA480" i="3"/>
  <c r="Z480" i="3" s="1"/>
  <c r="B468" i="3"/>
  <c r="Z458" i="3"/>
  <c r="J452" i="3"/>
  <c r="AA445" i="3"/>
  <c r="Z445" i="3" s="1"/>
  <c r="L439" i="3"/>
  <c r="B433" i="3"/>
  <c r="Z426" i="3"/>
  <c r="J420" i="3"/>
  <c r="AA413" i="3"/>
  <c r="Z413" i="3" s="1"/>
  <c r="L407" i="3"/>
  <c r="B401" i="3"/>
  <c r="B396" i="3"/>
  <c r="Z391" i="3"/>
  <c r="L388" i="3"/>
  <c r="J385" i="3"/>
  <c r="B382" i="3"/>
  <c r="L379" i="3"/>
  <c r="Z377" i="3"/>
  <c r="B376" i="3"/>
  <c r="L374" i="3"/>
  <c r="AA372" i="3"/>
  <c r="Z372" i="3" s="1"/>
  <c r="J371" i="3"/>
  <c r="Z369" i="3"/>
  <c r="B368" i="3"/>
  <c r="L366" i="3"/>
  <c r="AA364" i="3"/>
  <c r="Z364" i="3" s="1"/>
  <c r="J363" i="3"/>
  <c r="Z361" i="3"/>
  <c r="B360" i="3"/>
  <c r="L358" i="3"/>
  <c r="AA356" i="3"/>
  <c r="Z356" i="3" s="1"/>
  <c r="J355" i="3"/>
  <c r="Z353" i="3"/>
  <c r="B352" i="3"/>
  <c r="L350" i="3"/>
  <c r="AA348" i="3"/>
  <c r="Z348" i="3" s="1"/>
  <c r="J347" i="3"/>
  <c r="Z345" i="3"/>
  <c r="B344" i="3"/>
  <c r="L342" i="3"/>
  <c r="AA340" i="3"/>
  <c r="Z340" i="3" s="1"/>
  <c r="J339" i="3"/>
  <c r="Z337" i="3"/>
  <c r="B336" i="3"/>
  <c r="L334" i="3"/>
  <c r="AA332" i="3"/>
  <c r="Z332" i="3" s="1"/>
  <c r="J331" i="3"/>
  <c r="Z329" i="3"/>
  <c r="B328" i="3"/>
  <c r="L326" i="3"/>
  <c r="AA324" i="3"/>
  <c r="Z324" i="3" s="1"/>
  <c r="J323" i="3"/>
  <c r="Z321" i="3"/>
  <c r="B320" i="3"/>
  <c r="L318" i="3"/>
  <c r="AA316" i="3"/>
  <c r="Z316" i="3" s="1"/>
  <c r="J315" i="3"/>
  <c r="Z313" i="3"/>
  <c r="B312" i="3"/>
  <c r="L310" i="3"/>
  <c r="AA308" i="3"/>
  <c r="Z308" i="3" s="1"/>
  <c r="J307" i="3"/>
  <c r="Z305" i="3"/>
  <c r="B304" i="3"/>
  <c r="L302" i="3"/>
  <c r="AA300" i="3"/>
  <c r="Z300" i="3" s="1"/>
  <c r="J299" i="3"/>
  <c r="Z297" i="3"/>
  <c r="B296" i="3"/>
  <c r="L294" i="3"/>
  <c r="AA292" i="3"/>
  <c r="Z292" i="3" s="1"/>
  <c r="J291" i="3"/>
  <c r="Z289" i="3"/>
  <c r="B288" i="3"/>
  <c r="L286" i="3"/>
  <c r="AA284" i="3"/>
  <c r="Z284" i="3" s="1"/>
  <c r="J283" i="3"/>
  <c r="Z281" i="3"/>
  <c r="B280" i="3"/>
  <c r="L278" i="3"/>
  <c r="AA276" i="3"/>
  <c r="Z276" i="3" s="1"/>
  <c r="J275" i="3"/>
  <c r="Z273" i="3"/>
  <c r="B272" i="3"/>
  <c r="L270" i="3"/>
  <c r="AA268" i="3"/>
  <c r="J267" i="3"/>
  <c r="Z265" i="3"/>
  <c r="B264" i="3"/>
  <c r="L262" i="3"/>
  <c r="AA260" i="3"/>
  <c r="J259" i="3"/>
  <c r="Z257" i="3"/>
  <c r="B256" i="3"/>
  <c r="L254" i="3"/>
  <c r="AA252" i="3"/>
  <c r="J251" i="3"/>
  <c r="Z249" i="3"/>
  <c r="B248" i="3"/>
  <c r="L246" i="3"/>
  <c r="AA244" i="3"/>
  <c r="J243" i="3"/>
  <c r="Z241" i="3"/>
  <c r="B240" i="3"/>
  <c r="L238" i="3"/>
  <c r="AA236" i="3"/>
  <c r="J235" i="3"/>
  <c r="Z233" i="3"/>
  <c r="B232" i="3"/>
  <c r="L230" i="3"/>
  <c r="AA228" i="3"/>
  <c r="J227" i="3"/>
  <c r="Z225" i="3"/>
  <c r="B224" i="3"/>
  <c r="L222" i="3"/>
  <c r="AA220" i="3"/>
  <c r="J219" i="3"/>
  <c r="Z217" i="3"/>
  <c r="B216" i="3"/>
  <c r="L214" i="3"/>
  <c r="AA212" i="3"/>
  <c r="J211" i="3"/>
  <c r="Z209" i="3"/>
  <c r="B208" i="3"/>
  <c r="L206" i="3"/>
  <c r="AA204" i="3"/>
  <c r="J203" i="3"/>
  <c r="J673" i="3"/>
  <c r="J471" i="3"/>
  <c r="L415" i="3"/>
  <c r="J380" i="3"/>
  <c r="AA366" i="3"/>
  <c r="Z366" i="3" s="1"/>
  <c r="B354" i="3"/>
  <c r="J341" i="3"/>
  <c r="L328" i="3"/>
  <c r="Z315" i="3"/>
  <c r="AA302" i="3"/>
  <c r="Z302" i="3" s="1"/>
  <c r="B290" i="3"/>
  <c r="J277" i="3"/>
  <c r="J270" i="3"/>
  <c r="AA263" i="3"/>
  <c r="Z263" i="3" s="1"/>
  <c r="L257" i="3"/>
  <c r="B251" i="3"/>
  <c r="Z244" i="3"/>
  <c r="J238" i="3"/>
  <c r="AA231" i="3"/>
  <c r="Z231" i="3" s="1"/>
  <c r="L225" i="3"/>
  <c r="Z219" i="3"/>
  <c r="AA215" i="3"/>
  <c r="Z215" i="3" s="1"/>
  <c r="L213" i="3"/>
  <c r="Z210" i="3"/>
  <c r="L208" i="3"/>
  <c r="AA205" i="3"/>
  <c r="AA203" i="3"/>
  <c r="B202" i="3"/>
  <c r="J200" i="3"/>
  <c r="B197" i="3"/>
  <c r="L195" i="3"/>
  <c r="AA193" i="3"/>
  <c r="J192" i="3"/>
  <c r="B189" i="3"/>
  <c r="L187" i="3"/>
  <c r="AA185" i="3"/>
  <c r="J184" i="3"/>
  <c r="B181" i="3"/>
  <c r="L179" i="3"/>
  <c r="AA177" i="3"/>
  <c r="J176" i="3"/>
  <c r="B173" i="3"/>
  <c r="L171" i="3"/>
  <c r="AA169" i="3"/>
  <c r="J168" i="3"/>
  <c r="B165" i="3"/>
  <c r="L163" i="3"/>
  <c r="AA161" i="3"/>
  <c r="J160" i="3"/>
  <c r="B157" i="3"/>
  <c r="L155" i="3"/>
  <c r="AA153" i="3"/>
  <c r="J152" i="3"/>
  <c r="B149" i="3"/>
  <c r="L147" i="3"/>
  <c r="AA145" i="3"/>
  <c r="J144" i="3"/>
  <c r="B141" i="3"/>
  <c r="L139" i="3"/>
  <c r="AA137" i="3"/>
  <c r="J136" i="3"/>
  <c r="B133" i="3"/>
  <c r="L131" i="3"/>
  <c r="AA129" i="3"/>
  <c r="J128" i="3"/>
  <c r="B125" i="3"/>
  <c r="L123" i="3"/>
  <c r="AA121" i="3"/>
  <c r="J120" i="3"/>
  <c r="B117" i="3"/>
  <c r="L115" i="3"/>
  <c r="AA113" i="3"/>
  <c r="J112" i="3"/>
  <c r="B109" i="3"/>
  <c r="L107" i="3"/>
  <c r="AA105" i="3"/>
  <c r="J104" i="3"/>
  <c r="B101" i="3"/>
  <c r="L99" i="3"/>
  <c r="AA97" i="3"/>
  <c r="J96" i="3"/>
  <c r="B93" i="3"/>
  <c r="L91" i="3"/>
  <c r="AA89" i="3"/>
  <c r="J88" i="3"/>
  <c r="B85" i="3"/>
  <c r="L83" i="3"/>
  <c r="AA81" i="3"/>
  <c r="J80" i="3"/>
  <c r="B77" i="3"/>
  <c r="L75" i="3"/>
  <c r="AA73" i="3"/>
  <c r="J72" i="3"/>
  <c r="B69" i="3"/>
  <c r="L67" i="3"/>
  <c r="AA65" i="3"/>
  <c r="J64" i="3"/>
  <c r="B61" i="3"/>
  <c r="L59" i="3"/>
  <c r="AA57" i="3"/>
  <c r="J56" i="3"/>
  <c r="B53" i="3"/>
  <c r="L51" i="3"/>
  <c r="AA49" i="3"/>
  <c r="J48" i="3"/>
  <c r="B45" i="3"/>
  <c r="L43" i="3"/>
  <c r="Z596" i="3"/>
  <c r="J460" i="3"/>
  <c r="B409" i="3"/>
  <c r="B378" i="3"/>
  <c r="J365" i="3"/>
  <c r="L352" i="3"/>
  <c r="Z339" i="3"/>
  <c r="AA326" i="3"/>
  <c r="Z326" i="3" s="1"/>
  <c r="B314" i="3"/>
  <c r="J301" i="3"/>
  <c r="L288" i="3"/>
  <c r="Z275" i="3"/>
  <c r="J269" i="3"/>
  <c r="AA262" i="3"/>
  <c r="Z262" i="3" s="1"/>
  <c r="L256" i="3"/>
  <c r="B250" i="3"/>
  <c r="Z243" i="3"/>
  <c r="J237" i="3"/>
  <c r="AA230" i="3"/>
  <c r="Z230" i="3" s="1"/>
  <c r="L224" i="3"/>
  <c r="B219" i="3"/>
  <c r="L215" i="3"/>
  <c r="J213" i="3"/>
  <c r="L210" i="3"/>
  <c r="AA207" i="3"/>
  <c r="Z207" i="3" s="1"/>
  <c r="Z205" i="3"/>
  <c r="Z203" i="3"/>
  <c r="AA201" i="3"/>
  <c r="Z201" i="3" s="1"/>
  <c r="B200" i="3"/>
  <c r="L198" i="3"/>
  <c r="AA196" i="3"/>
  <c r="J195" i="3"/>
  <c r="Z193" i="3"/>
  <c r="B192" i="3"/>
  <c r="L190" i="3"/>
  <c r="AA188" i="3"/>
  <c r="J187" i="3"/>
  <c r="Z185" i="3"/>
  <c r="B184" i="3"/>
  <c r="L182" i="3"/>
  <c r="AA180" i="3"/>
  <c r="J179" i="3"/>
  <c r="Z177" i="3"/>
  <c r="B176" i="3"/>
  <c r="L174" i="3"/>
  <c r="AA172" i="3"/>
  <c r="J171" i="3"/>
  <c r="Z169" i="3"/>
  <c r="B168" i="3"/>
  <c r="L166" i="3"/>
  <c r="AA164" i="3"/>
  <c r="J163" i="3"/>
  <c r="Z161" i="3"/>
  <c r="B160" i="3"/>
  <c r="L158" i="3"/>
  <c r="AA156" i="3"/>
  <c r="J155" i="3"/>
  <c r="Z153" i="3"/>
  <c r="B152" i="3"/>
  <c r="L150" i="3"/>
  <c r="AA148" i="3"/>
  <c r="J147" i="3"/>
  <c r="Z145" i="3"/>
  <c r="B144" i="3"/>
  <c r="L142" i="3"/>
  <c r="AA140" i="3"/>
  <c r="J139" i="3"/>
  <c r="Z137" i="3"/>
  <c r="B136" i="3"/>
  <c r="L134" i="3"/>
  <c r="AA132" i="3"/>
  <c r="J131" i="3"/>
  <c r="Z129" i="3"/>
  <c r="B128" i="3"/>
  <c r="L126" i="3"/>
  <c r="AA124" i="3"/>
  <c r="J123" i="3"/>
  <c r="Z121" i="3"/>
  <c r="B120" i="3"/>
  <c r="L118" i="3"/>
  <c r="AA116" i="3"/>
  <c r="J115" i="3"/>
  <c r="Z113" i="3"/>
  <c r="B112" i="3"/>
  <c r="L110" i="3"/>
  <c r="L551" i="3"/>
  <c r="AA453" i="3"/>
  <c r="Z453" i="3" s="1"/>
  <c r="Z402" i="3"/>
  <c r="L376" i="3"/>
  <c r="Z363" i="3"/>
  <c r="AA350" i="3"/>
  <c r="Z350" i="3" s="1"/>
  <c r="B338" i="3"/>
  <c r="J325" i="3"/>
  <c r="L312" i="3"/>
  <c r="Z299" i="3"/>
  <c r="AA286" i="3"/>
  <c r="Z286" i="3" s="1"/>
  <c r="B275" i="3"/>
  <c r="Z268" i="3"/>
  <c r="J262" i="3"/>
  <c r="AA255" i="3"/>
  <c r="Z255" i="3" s="1"/>
  <c r="L249" i="3"/>
  <c r="B243" i="3"/>
  <c r="Z236" i="3"/>
  <c r="J230" i="3"/>
  <c r="AA223" i="3"/>
  <c r="Z223" i="3" s="1"/>
  <c r="L218" i="3"/>
  <c r="J215" i="3"/>
  <c r="Z212" i="3"/>
  <c r="J210" i="3"/>
  <c r="L207" i="3"/>
  <c r="L205" i="3"/>
  <c r="L203" i="3"/>
  <c r="L201" i="3"/>
  <c r="AA199" i="3"/>
  <c r="J198" i="3"/>
  <c r="Z196" i="3"/>
  <c r="B195" i="3"/>
  <c r="L193" i="3"/>
  <c r="AA191" i="3"/>
  <c r="J190" i="3"/>
  <c r="Z188" i="3"/>
  <c r="B187" i="3"/>
  <c r="L185" i="3"/>
  <c r="AA183" i="3"/>
  <c r="J182" i="3"/>
  <c r="Z180" i="3"/>
  <c r="B179" i="3"/>
  <c r="L177" i="3"/>
  <c r="AA175" i="3"/>
  <c r="J174" i="3"/>
  <c r="Z172" i="3"/>
  <c r="B171" i="3"/>
  <c r="L169" i="3"/>
  <c r="AA167" i="3"/>
  <c r="J166" i="3"/>
  <c r="Z164" i="3"/>
  <c r="B163" i="3"/>
  <c r="L161" i="3"/>
  <c r="AA159" i="3"/>
  <c r="J158" i="3"/>
  <c r="Z156" i="3"/>
  <c r="B155" i="3"/>
  <c r="L153" i="3"/>
  <c r="AA151" i="3"/>
  <c r="J150" i="3"/>
  <c r="Z148" i="3"/>
  <c r="B147" i="3"/>
  <c r="L145" i="3"/>
  <c r="AA143" i="3"/>
  <c r="J142" i="3"/>
  <c r="Z140" i="3"/>
  <c r="B139" i="3"/>
  <c r="L137" i="3"/>
  <c r="AA135" i="3"/>
  <c r="J134" i="3"/>
  <c r="Z132" i="3"/>
  <c r="B131" i="3"/>
  <c r="L129" i="3"/>
  <c r="AA127" i="3"/>
  <c r="J126" i="3"/>
  <c r="Z124" i="3"/>
  <c r="B123" i="3"/>
  <c r="L121" i="3"/>
  <c r="AA119" i="3"/>
  <c r="J118" i="3"/>
  <c r="Z116" i="3"/>
  <c r="B115" i="3"/>
  <c r="L113" i="3"/>
  <c r="AA111" i="3"/>
  <c r="J110" i="3"/>
  <c r="B107" i="3"/>
  <c r="L105" i="3"/>
  <c r="AA103" i="3"/>
  <c r="J102" i="3"/>
  <c r="B99" i="3"/>
  <c r="L97" i="3"/>
  <c r="AA95" i="3"/>
  <c r="J94" i="3"/>
  <c r="B91" i="3"/>
  <c r="L89" i="3"/>
  <c r="AA87" i="3"/>
  <c r="J86" i="3"/>
  <c r="B83" i="3"/>
  <c r="L81" i="3"/>
  <c r="AA79" i="3"/>
  <c r="J78" i="3"/>
  <c r="B75" i="3"/>
  <c r="J535" i="3"/>
  <c r="L447" i="3"/>
  <c r="Z396" i="3"/>
  <c r="AA374" i="3"/>
  <c r="Z374" i="3" s="1"/>
  <c r="B362" i="3"/>
  <c r="J349" i="3"/>
  <c r="L336" i="3"/>
  <c r="Z323" i="3"/>
  <c r="AA310" i="3"/>
  <c r="Z310" i="3" s="1"/>
  <c r="B298" i="3"/>
  <c r="J285" i="3"/>
  <c r="B274" i="3"/>
  <c r="Z267" i="3"/>
  <c r="J261" i="3"/>
  <c r="AA254" i="3"/>
  <c r="Z254" i="3" s="1"/>
  <c r="L248" i="3"/>
  <c r="B242" i="3"/>
  <c r="Z235" i="3"/>
  <c r="J229" i="3"/>
  <c r="AA222" i="3"/>
  <c r="Z222" i="3" s="1"/>
  <c r="B218" i="3"/>
  <c r="B215" i="3"/>
  <c r="J212" i="3"/>
  <c r="B210" i="3"/>
  <c r="J207" i="3"/>
  <c r="J205" i="3"/>
  <c r="B203" i="3"/>
  <c r="J201" i="3"/>
  <c r="Z199" i="3"/>
  <c r="B198" i="3"/>
  <c r="L196" i="3"/>
  <c r="AA194" i="3"/>
  <c r="J193" i="3"/>
  <c r="Z191" i="3"/>
  <c r="B190" i="3"/>
  <c r="L188" i="3"/>
  <c r="AA186" i="3"/>
  <c r="J185" i="3"/>
  <c r="Z183" i="3"/>
  <c r="B182" i="3"/>
  <c r="L180" i="3"/>
  <c r="AA178" i="3"/>
  <c r="J177" i="3"/>
  <c r="Z175" i="3"/>
  <c r="B174" i="3"/>
  <c r="L172" i="3"/>
  <c r="AA170" i="3"/>
  <c r="J169" i="3"/>
  <c r="Z167" i="3"/>
  <c r="B166" i="3"/>
  <c r="L164" i="3"/>
  <c r="AA162" i="3"/>
  <c r="J161" i="3"/>
  <c r="Z159" i="3"/>
  <c r="B158" i="3"/>
  <c r="L156" i="3"/>
  <c r="AA154" i="3"/>
  <c r="J153" i="3"/>
  <c r="Z151" i="3"/>
  <c r="B150" i="3"/>
  <c r="L148" i="3"/>
  <c r="AA146" i="3"/>
  <c r="J145" i="3"/>
  <c r="Z143" i="3"/>
  <c r="B142" i="3"/>
  <c r="L140" i="3"/>
  <c r="AA138" i="3"/>
  <c r="J137" i="3"/>
  <c r="Z135" i="3"/>
  <c r="B134" i="3"/>
  <c r="L132" i="3"/>
  <c r="AA130" i="3"/>
  <c r="J129" i="3"/>
  <c r="Z127" i="3"/>
  <c r="B126" i="3"/>
  <c r="L124" i="3"/>
  <c r="AA122" i="3"/>
  <c r="J121" i="3"/>
  <c r="Z119" i="3"/>
  <c r="B118" i="3"/>
  <c r="L116" i="3"/>
  <c r="AA114" i="3"/>
  <c r="J113" i="3"/>
  <c r="Z111" i="3"/>
  <c r="B110" i="3"/>
  <c r="L108" i="3"/>
  <c r="AA106" i="3"/>
  <c r="J105" i="3"/>
  <c r="Z103" i="3"/>
  <c r="B102" i="3"/>
  <c r="L100" i="3"/>
  <c r="AA98" i="3"/>
  <c r="J97" i="3"/>
  <c r="Z95" i="3"/>
  <c r="B94" i="3"/>
  <c r="L92" i="3"/>
  <c r="AA90" i="3"/>
  <c r="J89" i="3"/>
  <c r="Z87" i="3"/>
  <c r="B86" i="3"/>
  <c r="L84" i="3"/>
  <c r="AA82" i="3"/>
  <c r="J81" i="3"/>
  <c r="Z79" i="3"/>
  <c r="B78" i="3"/>
  <c r="L76" i="3"/>
  <c r="AA74" i="3"/>
  <c r="J73" i="3"/>
  <c r="B70" i="3"/>
  <c r="L68" i="3"/>
  <c r="AA66" i="3"/>
  <c r="J65" i="3"/>
  <c r="B62" i="3"/>
  <c r="L522" i="3"/>
  <c r="B441" i="3"/>
  <c r="AA392" i="3"/>
  <c r="Z392" i="3" s="1"/>
  <c r="J373" i="3"/>
  <c r="L360" i="3"/>
  <c r="Z347" i="3"/>
  <c r="AA334" i="3"/>
  <c r="Z334" i="3" s="1"/>
  <c r="B322" i="3"/>
  <c r="J309" i="3"/>
  <c r="L296" i="3"/>
  <c r="Z283" i="3"/>
  <c r="L273" i="3"/>
  <c r="B267" i="3"/>
  <c r="Z260" i="3"/>
  <c r="J254" i="3"/>
  <c r="AA247" i="3"/>
  <c r="Z247" i="3" s="1"/>
  <c r="L241" i="3"/>
  <c r="B235" i="3"/>
  <c r="Z228" i="3"/>
  <c r="J222" i="3"/>
  <c r="L217" i="3"/>
  <c r="AA214" i="3"/>
  <c r="Z214" i="3" s="1"/>
  <c r="B212" i="3"/>
  <c r="L209" i="3"/>
  <c r="B207" i="3"/>
  <c r="Z204" i="3"/>
  <c r="AA202" i="3"/>
  <c r="B201" i="3"/>
  <c r="L199" i="3"/>
  <c r="AA197" i="3"/>
  <c r="J196" i="3"/>
  <c r="Z194" i="3"/>
  <c r="B193" i="3"/>
  <c r="L191" i="3"/>
  <c r="AA189" i="3"/>
  <c r="J188" i="3"/>
  <c r="Z186" i="3"/>
  <c r="B185" i="3"/>
  <c r="L183" i="3"/>
  <c r="AA181" i="3"/>
  <c r="J180" i="3"/>
  <c r="Z178" i="3"/>
  <c r="B177" i="3"/>
  <c r="L175" i="3"/>
  <c r="AA173" i="3"/>
  <c r="J172" i="3"/>
  <c r="Z170" i="3"/>
  <c r="B169" i="3"/>
  <c r="L167" i="3"/>
  <c r="AA165" i="3"/>
  <c r="J164" i="3"/>
  <c r="Z162" i="3"/>
  <c r="B161" i="3"/>
  <c r="L159" i="3"/>
  <c r="AA157" i="3"/>
  <c r="J156" i="3"/>
  <c r="Z154" i="3"/>
  <c r="B153" i="3"/>
  <c r="L151" i="3"/>
  <c r="AA149" i="3"/>
  <c r="J148" i="3"/>
  <c r="Z146" i="3"/>
  <c r="B145" i="3"/>
  <c r="L143" i="3"/>
  <c r="AA141" i="3"/>
  <c r="J140" i="3"/>
  <c r="Z138" i="3"/>
  <c r="B137" i="3"/>
  <c r="L135" i="3"/>
  <c r="AA133" i="3"/>
  <c r="J132" i="3"/>
  <c r="Z130" i="3"/>
  <c r="B129" i="3"/>
  <c r="L127" i="3"/>
  <c r="AA125" i="3"/>
  <c r="J124" i="3"/>
  <c r="Z122" i="3"/>
  <c r="B121" i="3"/>
  <c r="L119" i="3"/>
  <c r="AA117" i="3"/>
  <c r="J116" i="3"/>
  <c r="Z114" i="3"/>
  <c r="B113" i="3"/>
  <c r="L111" i="3"/>
  <c r="AA109" i="3"/>
  <c r="J108" i="3"/>
  <c r="Z106" i="3"/>
  <c r="B105" i="3"/>
  <c r="L103" i="3"/>
  <c r="AA101" i="3"/>
  <c r="J100" i="3"/>
  <c r="Z98" i="3"/>
  <c r="B97" i="3"/>
  <c r="L95" i="3"/>
  <c r="AA93" i="3"/>
  <c r="J92" i="3"/>
  <c r="Z90" i="3"/>
  <c r="B89" i="3"/>
  <c r="L87" i="3"/>
  <c r="AA85" i="3"/>
  <c r="J84" i="3"/>
  <c r="Z82" i="3"/>
  <c r="B81" i="3"/>
  <c r="L79" i="3"/>
  <c r="AA77" i="3"/>
  <c r="J76" i="3"/>
  <c r="Z74" i="3"/>
  <c r="B73" i="3"/>
  <c r="L71" i="3"/>
  <c r="AA69" i="3"/>
  <c r="J68" i="3"/>
  <c r="Z66" i="3"/>
  <c r="B65" i="3"/>
  <c r="L63" i="3"/>
  <c r="AA61" i="3"/>
  <c r="J60" i="3"/>
  <c r="B57" i="3"/>
  <c r="L55" i="3"/>
  <c r="AA53" i="3"/>
  <c r="J52" i="3"/>
  <c r="B49" i="3"/>
  <c r="L47" i="3"/>
  <c r="AA45" i="3"/>
  <c r="J44" i="3"/>
  <c r="Z509" i="3"/>
  <c r="Z434" i="3"/>
  <c r="Z389" i="3"/>
  <c r="Z371" i="3"/>
  <c r="AA358" i="3"/>
  <c r="Z358" i="3" s="1"/>
  <c r="B346" i="3"/>
  <c r="J333" i="3"/>
  <c r="L320" i="3"/>
  <c r="Z307" i="3"/>
  <c r="AA294" i="3"/>
  <c r="Z294" i="3" s="1"/>
  <c r="B282" i="3"/>
  <c r="L272" i="3"/>
  <c r="B266" i="3"/>
  <c r="Z259" i="3"/>
  <c r="J253" i="3"/>
  <c r="AA246" i="3"/>
  <c r="Z246" i="3" s="1"/>
  <c r="L240" i="3"/>
  <c r="B234" i="3"/>
  <c r="Z227" i="3"/>
  <c r="J221" i="3"/>
  <c r="B217" i="3"/>
  <c r="J214" i="3"/>
  <c r="AA211" i="3"/>
  <c r="B209" i="3"/>
  <c r="AA206" i="3"/>
  <c r="Z206" i="3" s="1"/>
  <c r="L204" i="3"/>
  <c r="Z202" i="3"/>
  <c r="AA200" i="3"/>
  <c r="J199" i="3"/>
  <c r="Z197" i="3"/>
  <c r="B196" i="3"/>
  <c r="L194" i="3"/>
  <c r="AA192" i="3"/>
  <c r="J191" i="3"/>
  <c r="Z189" i="3"/>
  <c r="B188" i="3"/>
  <c r="L186" i="3"/>
  <c r="AA184" i="3"/>
  <c r="J183" i="3"/>
  <c r="Z181" i="3"/>
  <c r="B180" i="3"/>
  <c r="L178" i="3"/>
  <c r="AA176" i="3"/>
  <c r="J175" i="3"/>
  <c r="Z173" i="3"/>
  <c r="AA496" i="3"/>
  <c r="Z496" i="3" s="1"/>
  <c r="J428" i="3"/>
  <c r="L386" i="3"/>
  <c r="B370" i="3"/>
  <c r="J357" i="3"/>
  <c r="L344" i="3"/>
  <c r="Z331" i="3"/>
  <c r="AA318" i="3"/>
  <c r="Z318" i="3" s="1"/>
  <c r="B306" i="3"/>
  <c r="J293" i="3"/>
  <c r="L280" i="3"/>
  <c r="AA271" i="3"/>
  <c r="Z271" i="3" s="1"/>
  <c r="L265" i="3"/>
  <c r="B259" i="3"/>
  <c r="Z252" i="3"/>
  <c r="J246" i="3"/>
  <c r="AA239" i="3"/>
  <c r="Z239" i="3" s="1"/>
  <c r="L233" i="3"/>
  <c r="B227" i="3"/>
  <c r="Z220" i="3"/>
  <c r="AA216" i="3"/>
  <c r="Z216" i="3" s="1"/>
  <c r="AA213" i="3"/>
  <c r="Z211" i="3"/>
  <c r="AA208" i="3"/>
  <c r="J206" i="3"/>
  <c r="J204" i="3"/>
  <c r="L202" i="3"/>
  <c r="Z200" i="3"/>
  <c r="B199" i="3"/>
  <c r="L197" i="3"/>
  <c r="AA195" i="3"/>
  <c r="J194" i="3"/>
  <c r="Z192" i="3"/>
  <c r="B191" i="3"/>
  <c r="L189" i="3"/>
  <c r="AA187" i="3"/>
  <c r="J186" i="3"/>
  <c r="Z184" i="3"/>
  <c r="B183" i="3"/>
  <c r="L181" i="3"/>
  <c r="AA179" i="3"/>
  <c r="J178" i="3"/>
  <c r="Z176" i="3"/>
  <c r="B175" i="3"/>
  <c r="L173" i="3"/>
  <c r="AA171" i="3"/>
  <c r="J170" i="3"/>
  <c r="B167" i="3"/>
  <c r="L165" i="3"/>
  <c r="AA163" i="3"/>
  <c r="J162" i="3"/>
  <c r="B159" i="3"/>
  <c r="L157" i="3"/>
  <c r="AA155" i="3"/>
  <c r="J154" i="3"/>
  <c r="B151" i="3"/>
  <c r="L149" i="3"/>
  <c r="AA147" i="3"/>
  <c r="J146" i="3"/>
  <c r="B143" i="3"/>
  <c r="L141" i="3"/>
  <c r="AA139" i="3"/>
  <c r="J138" i="3"/>
  <c r="B135" i="3"/>
  <c r="L133" i="3"/>
  <c r="AA131" i="3"/>
  <c r="J130" i="3"/>
  <c r="B127" i="3"/>
  <c r="L125" i="3"/>
  <c r="AA123" i="3"/>
  <c r="J122" i="3"/>
  <c r="B119" i="3"/>
  <c r="L117" i="3"/>
  <c r="AA115" i="3"/>
  <c r="J114" i="3"/>
  <c r="B111" i="3"/>
  <c r="L109" i="3"/>
  <c r="AA107" i="3"/>
  <c r="J106" i="3"/>
  <c r="B103" i="3"/>
  <c r="L101" i="3"/>
  <c r="AA99" i="3"/>
  <c r="J98" i="3"/>
  <c r="B95" i="3"/>
  <c r="L93" i="3"/>
  <c r="AA91" i="3"/>
  <c r="J90" i="3"/>
  <c r="B87" i="3"/>
  <c r="L85" i="3"/>
  <c r="AA83" i="3"/>
  <c r="J82" i="3"/>
  <c r="B79" i="3"/>
  <c r="L77" i="3"/>
  <c r="AA75" i="3"/>
  <c r="J74" i="3"/>
  <c r="B71" i="3"/>
  <c r="L69" i="3"/>
  <c r="AA67" i="3"/>
  <c r="J66" i="3"/>
  <c r="B63" i="3"/>
  <c r="L61" i="3"/>
  <c r="AA59" i="3"/>
  <c r="J58" i="3"/>
  <c r="B55" i="3"/>
  <c r="L53" i="3"/>
  <c r="AA51" i="3"/>
  <c r="J50" i="3"/>
  <c r="B484" i="3"/>
  <c r="AA421" i="3"/>
  <c r="Z421" i="3" s="1"/>
  <c r="J383" i="3"/>
  <c r="L368" i="3"/>
  <c r="Z355" i="3"/>
  <c r="AA342" i="3"/>
  <c r="Z342" i="3" s="1"/>
  <c r="B330" i="3"/>
  <c r="J317" i="3"/>
  <c r="L304" i="3"/>
  <c r="Z291" i="3"/>
  <c r="AA278" i="3"/>
  <c r="Z278" i="3" s="1"/>
  <c r="AA270" i="3"/>
  <c r="Z270" i="3" s="1"/>
  <c r="L264" i="3"/>
  <c r="B258" i="3"/>
  <c r="Z251" i="3"/>
  <c r="J245" i="3"/>
  <c r="AA238" i="3"/>
  <c r="Z238" i="3" s="1"/>
  <c r="L232" i="3"/>
  <c r="B226" i="3"/>
  <c r="B220" i="3"/>
  <c r="L216" i="3"/>
  <c r="Z213" i="3"/>
  <c r="B211" i="3"/>
  <c r="Z208" i="3"/>
  <c r="B206" i="3"/>
  <c r="B204" i="3"/>
  <c r="J202" i="3"/>
  <c r="L200" i="3"/>
  <c r="AA198" i="3"/>
  <c r="Z198" i="3" s="1"/>
  <c r="J197" i="3"/>
  <c r="Z195" i="3"/>
  <c r="B194" i="3"/>
  <c r="L192" i="3"/>
  <c r="AA190" i="3"/>
  <c r="Z190" i="3" s="1"/>
  <c r="J189" i="3"/>
  <c r="Z187" i="3"/>
  <c r="B186" i="3"/>
  <c r="L184" i="3"/>
  <c r="AA182" i="3"/>
  <c r="Z182" i="3" s="1"/>
  <c r="J181" i="3"/>
  <c r="Z179" i="3"/>
  <c r="B178" i="3"/>
  <c r="L176" i="3"/>
  <c r="AA174" i="3"/>
  <c r="Z174" i="3" s="1"/>
  <c r="J173" i="3"/>
  <c r="Z171" i="3"/>
  <c r="B170" i="3"/>
  <c r="L168" i="3"/>
  <c r="AA166" i="3"/>
  <c r="Z166" i="3" s="1"/>
  <c r="J165" i="3"/>
  <c r="Z163" i="3"/>
  <c r="B162" i="3"/>
  <c r="L160" i="3"/>
  <c r="AA158" i="3"/>
  <c r="Z158" i="3" s="1"/>
  <c r="J157" i="3"/>
  <c r="Z155" i="3"/>
  <c r="B154" i="3"/>
  <c r="L152" i="3"/>
  <c r="AA150" i="3"/>
  <c r="Z150" i="3" s="1"/>
  <c r="J149" i="3"/>
  <c r="Z147" i="3"/>
  <c r="B146" i="3"/>
  <c r="L144" i="3"/>
  <c r="AA142" i="3"/>
  <c r="Z142" i="3" s="1"/>
  <c r="J141" i="3"/>
  <c r="Z139" i="3"/>
  <c r="B138" i="3"/>
  <c r="L136" i="3"/>
  <c r="AA134" i="3"/>
  <c r="Z134" i="3" s="1"/>
  <c r="J133" i="3"/>
  <c r="Z131" i="3"/>
  <c r="B130" i="3"/>
  <c r="L128" i="3"/>
  <c r="AA126" i="3"/>
  <c r="Z126" i="3" s="1"/>
  <c r="J125" i="3"/>
  <c r="Z123" i="3"/>
  <c r="B122" i="3"/>
  <c r="L120" i="3"/>
  <c r="AA118" i="3"/>
  <c r="Z118" i="3" s="1"/>
  <c r="J117" i="3"/>
  <c r="Z115" i="3"/>
  <c r="B114" i="3"/>
  <c r="L112" i="3"/>
  <c r="AA110" i="3"/>
  <c r="Z110" i="3" s="1"/>
  <c r="J109" i="3"/>
  <c r="Z107" i="3"/>
  <c r="B106" i="3"/>
  <c r="L104" i="3"/>
  <c r="AA102" i="3"/>
  <c r="Z102" i="3" s="1"/>
  <c r="J101" i="3"/>
  <c r="Z99" i="3"/>
  <c r="B98" i="3"/>
  <c r="L96" i="3"/>
  <c r="AA94" i="3"/>
  <c r="Z94" i="3" s="1"/>
  <c r="J93" i="3"/>
  <c r="Z91" i="3"/>
  <c r="B90" i="3"/>
  <c r="L88" i="3"/>
  <c r="AA86" i="3"/>
  <c r="Z86" i="3" s="1"/>
  <c r="J85" i="3"/>
  <c r="Z83" i="3"/>
  <c r="B82" i="3"/>
  <c r="L80" i="3"/>
  <c r="AA78" i="3"/>
  <c r="Z78" i="3" s="1"/>
  <c r="J77" i="3"/>
  <c r="Z75" i="3"/>
  <c r="B74" i="3"/>
  <c r="L72" i="3"/>
  <c r="AA70" i="3"/>
  <c r="Z70" i="3" s="1"/>
  <c r="J69" i="3"/>
  <c r="Z67" i="3"/>
  <c r="B66" i="3"/>
  <c r="L64" i="3"/>
  <c r="AA62" i="3"/>
  <c r="Z62" i="3" s="1"/>
  <c r="J61" i="3"/>
  <c r="Z59" i="3"/>
  <c r="B172" i="3"/>
  <c r="J159" i="3"/>
  <c r="L146" i="3"/>
  <c r="Z133" i="3"/>
  <c r="AA120" i="3"/>
  <c r="Z120" i="3" s="1"/>
  <c r="AA108" i="3"/>
  <c r="Z108" i="3" s="1"/>
  <c r="L102" i="3"/>
  <c r="B96" i="3"/>
  <c r="Z89" i="3"/>
  <c r="J83" i="3"/>
  <c r="AA76" i="3"/>
  <c r="Z76" i="3" s="1"/>
  <c r="AA71" i="3"/>
  <c r="Z71" i="3" s="1"/>
  <c r="J67" i="3"/>
  <c r="J63" i="3"/>
  <c r="J59" i="3"/>
  <c r="AA56" i="3"/>
  <c r="Z56" i="3" s="1"/>
  <c r="J54" i="3"/>
  <c r="Z51" i="3"/>
  <c r="J49" i="3"/>
  <c r="AA46" i="3"/>
  <c r="Z46" i="3" s="1"/>
  <c r="B41" i="3"/>
  <c r="L39" i="3"/>
  <c r="AA37" i="3"/>
  <c r="J36" i="3"/>
  <c r="B33" i="3"/>
  <c r="L31" i="3"/>
  <c r="AA29" i="3"/>
  <c r="J28" i="3"/>
  <c r="B25" i="3"/>
  <c r="L23" i="3"/>
  <c r="AA21" i="3"/>
  <c r="J20" i="3"/>
  <c r="L170" i="3"/>
  <c r="Z157" i="3"/>
  <c r="AA144" i="3"/>
  <c r="Z144" i="3" s="1"/>
  <c r="B132" i="3"/>
  <c r="J119" i="3"/>
  <c r="B108" i="3"/>
  <c r="Z101" i="3"/>
  <c r="J95" i="3"/>
  <c r="AA88" i="3"/>
  <c r="Z88" i="3" s="1"/>
  <c r="L82" i="3"/>
  <c r="B76" i="3"/>
  <c r="J71" i="3"/>
  <c r="B67" i="3"/>
  <c r="L62" i="3"/>
  <c r="B59" i="3"/>
  <c r="L56" i="3"/>
  <c r="B54" i="3"/>
  <c r="J51" i="3"/>
  <c r="AA48" i="3"/>
  <c r="Z48" i="3" s="1"/>
  <c r="L46" i="3"/>
  <c r="L44" i="3"/>
  <c r="L42" i="3"/>
  <c r="AA40" i="3"/>
  <c r="J39" i="3"/>
  <c r="Z37" i="3"/>
  <c r="B36" i="3"/>
  <c r="L34" i="3"/>
  <c r="AA32" i="3"/>
  <c r="J31" i="3"/>
  <c r="Z29" i="3"/>
  <c r="B28" i="3"/>
  <c r="L26" i="3"/>
  <c r="AA24" i="3"/>
  <c r="J23" i="3"/>
  <c r="Z21" i="3"/>
  <c r="B20" i="3"/>
  <c r="L18" i="3"/>
  <c r="AA16" i="3"/>
  <c r="J15" i="3"/>
  <c r="B12" i="3"/>
  <c r="L10" i="3"/>
  <c r="AA8" i="3"/>
  <c r="J7" i="3"/>
  <c r="B7" i="3"/>
  <c r="B10" i="3"/>
  <c r="J8" i="3"/>
  <c r="J151" i="3"/>
  <c r="Z125" i="3"/>
  <c r="B92" i="3"/>
  <c r="J79" i="3"/>
  <c r="L73" i="3"/>
  <c r="AA68" i="3"/>
  <c r="J55" i="3"/>
  <c r="B50" i="3"/>
  <c r="J43" i="3"/>
  <c r="B40" i="3"/>
  <c r="L38" i="3"/>
  <c r="J35" i="3"/>
  <c r="B32" i="3"/>
  <c r="AA28" i="3"/>
  <c r="J19" i="3"/>
  <c r="L14" i="3"/>
  <c r="J11" i="3"/>
  <c r="AA168" i="3"/>
  <c r="Z168" i="3" s="1"/>
  <c r="B156" i="3"/>
  <c r="J143" i="3"/>
  <c r="L130" i="3"/>
  <c r="Z117" i="3"/>
  <c r="J107" i="3"/>
  <c r="AA100" i="3"/>
  <c r="Z100" i="3" s="1"/>
  <c r="L94" i="3"/>
  <c r="B88" i="3"/>
  <c r="Z81" i="3"/>
  <c r="J75" i="3"/>
  <c r="L70" i="3"/>
  <c r="L66" i="3"/>
  <c r="J62" i="3"/>
  <c r="AA58" i="3"/>
  <c r="Z58" i="3" s="1"/>
  <c r="B56" i="3"/>
  <c r="Z53" i="3"/>
  <c r="B51" i="3"/>
  <c r="L48" i="3"/>
  <c r="J46" i="3"/>
  <c r="B44" i="3"/>
  <c r="J42" i="3"/>
  <c r="Z40" i="3"/>
  <c r="B39" i="3"/>
  <c r="L37" i="3"/>
  <c r="AA35" i="3"/>
  <c r="J34" i="3"/>
  <c r="Z32" i="3"/>
  <c r="B31" i="3"/>
  <c r="L29" i="3"/>
  <c r="AA27" i="3"/>
  <c r="J26" i="3"/>
  <c r="Z24" i="3"/>
  <c r="B23" i="3"/>
  <c r="L21" i="3"/>
  <c r="AA19" i="3"/>
  <c r="J18" i="3"/>
  <c r="Z16" i="3"/>
  <c r="B15" i="3"/>
  <c r="L13" i="3"/>
  <c r="AA11" i="3"/>
  <c r="J10" i="3"/>
  <c r="Z8" i="3"/>
  <c r="L8" i="3"/>
  <c r="B164" i="3"/>
  <c r="L138" i="3"/>
  <c r="AA112" i="3"/>
  <c r="Z112" i="3" s="1"/>
  <c r="AA104" i="3"/>
  <c r="Z104" i="3" s="1"/>
  <c r="L98" i="3"/>
  <c r="Z85" i="3"/>
  <c r="AA64" i="3"/>
  <c r="Z64" i="3" s="1"/>
  <c r="Z57" i="3"/>
  <c r="L45" i="3"/>
  <c r="AA36" i="3"/>
  <c r="J27" i="3"/>
  <c r="B24" i="3"/>
  <c r="L22" i="3"/>
  <c r="B8" i="3"/>
  <c r="B17" i="3"/>
  <c r="L15" i="3"/>
  <c r="J12" i="3"/>
  <c r="L7" i="3"/>
  <c r="J167" i="3"/>
  <c r="L154" i="3"/>
  <c r="Z141" i="3"/>
  <c r="AA128" i="3"/>
  <c r="Z128" i="3" s="1"/>
  <c r="B116" i="3"/>
  <c r="L106" i="3"/>
  <c r="B100" i="3"/>
  <c r="Z93" i="3"/>
  <c r="J87" i="3"/>
  <c r="AA80" i="3"/>
  <c r="Z80" i="3" s="1"/>
  <c r="L74" i="3"/>
  <c r="J70" i="3"/>
  <c r="Z65" i="3"/>
  <c r="Z61" i="3"/>
  <c r="L58" i="3"/>
  <c r="AA55" i="3"/>
  <c r="J53" i="3"/>
  <c r="AA50" i="3"/>
  <c r="Z50" i="3" s="1"/>
  <c r="B48" i="3"/>
  <c r="B46" i="3"/>
  <c r="AA43" i="3"/>
  <c r="B42" i="3"/>
  <c r="L40" i="3"/>
  <c r="AA38" i="3"/>
  <c r="J37" i="3"/>
  <c r="Z35" i="3"/>
  <c r="B34" i="3"/>
  <c r="L32" i="3"/>
  <c r="AA30" i="3"/>
  <c r="J29" i="3"/>
  <c r="Z27" i="3"/>
  <c r="B26" i="3"/>
  <c r="L24" i="3"/>
  <c r="AA22" i="3"/>
  <c r="J21" i="3"/>
  <c r="Z19" i="3"/>
  <c r="B18" i="3"/>
  <c r="L16" i="3"/>
  <c r="AA14" i="3"/>
  <c r="J13" i="3"/>
  <c r="Z11" i="3"/>
  <c r="Z165" i="3"/>
  <c r="AA152" i="3"/>
  <c r="Z152" i="3" s="1"/>
  <c r="B140" i="3"/>
  <c r="J127" i="3"/>
  <c r="L114" i="3"/>
  <c r="Z105" i="3"/>
  <c r="J99" i="3"/>
  <c r="AA92" i="3"/>
  <c r="Z92" i="3" s="1"/>
  <c r="L86" i="3"/>
  <c r="B80" i="3"/>
  <c r="Z73" i="3"/>
  <c r="Z69" i="3"/>
  <c r="L65" i="3"/>
  <c r="AA60" i="3"/>
  <c r="Z60" i="3" s="1"/>
  <c r="B58" i="3"/>
  <c r="Z55" i="3"/>
  <c r="AA52" i="3"/>
  <c r="Z52" i="3" s="1"/>
  <c r="L50" i="3"/>
  <c r="AA47" i="3"/>
  <c r="Z47" i="3" s="1"/>
  <c r="Z45" i="3"/>
  <c r="Z43" i="3"/>
  <c r="AA41" i="3"/>
  <c r="Z41" i="3" s="1"/>
  <c r="J40" i="3"/>
  <c r="Z38" i="3"/>
  <c r="B37" i="3"/>
  <c r="L35" i="3"/>
  <c r="AA33" i="3"/>
  <c r="Z33" i="3" s="1"/>
  <c r="J32" i="3"/>
  <c r="Z30" i="3"/>
  <c r="B29" i="3"/>
  <c r="L27" i="3"/>
  <c r="AA25" i="3"/>
  <c r="Z25" i="3" s="1"/>
  <c r="J24" i="3"/>
  <c r="Z22" i="3"/>
  <c r="B21" i="3"/>
  <c r="L19" i="3"/>
  <c r="AA17" i="3"/>
  <c r="Z17" i="3" s="1"/>
  <c r="J16" i="3"/>
  <c r="Z14" i="3"/>
  <c r="B13" i="3"/>
  <c r="L11" i="3"/>
  <c r="AA9" i="3"/>
  <c r="L30" i="3"/>
  <c r="AA20" i="3"/>
  <c r="B16" i="3"/>
  <c r="AA12" i="3"/>
  <c r="Z9" i="3"/>
  <c r="AA13" i="3"/>
  <c r="Z13" i="3" s="1"/>
  <c r="B9" i="3"/>
  <c r="L162" i="3"/>
  <c r="Z149" i="3"/>
  <c r="AA136" i="3"/>
  <c r="Z136" i="3" s="1"/>
  <c r="B124" i="3"/>
  <c r="J111" i="3"/>
  <c r="B104" i="3"/>
  <c r="Z97" i="3"/>
  <c r="J91" i="3"/>
  <c r="AA84" i="3"/>
  <c r="Z84" i="3" s="1"/>
  <c r="L78" i="3"/>
  <c r="AA72" i="3"/>
  <c r="Z72" i="3" s="1"/>
  <c r="Z68" i="3"/>
  <c r="B64" i="3"/>
  <c r="L60" i="3"/>
  <c r="L57" i="3"/>
  <c r="AA54" i="3"/>
  <c r="Z54" i="3" s="1"/>
  <c r="L52" i="3"/>
  <c r="Z49" i="3"/>
  <c r="J47" i="3"/>
  <c r="J45" i="3"/>
  <c r="B43" i="3"/>
  <c r="L41" i="3"/>
  <c r="AA39" i="3"/>
  <c r="J38" i="3"/>
  <c r="Z36" i="3"/>
  <c r="B35" i="3"/>
  <c r="L33" i="3"/>
  <c r="AA31" i="3"/>
  <c r="J30" i="3"/>
  <c r="Z28" i="3"/>
  <c r="B27" i="3"/>
  <c r="L25" i="3"/>
  <c r="AA23" i="3"/>
  <c r="J22" i="3"/>
  <c r="Z20" i="3"/>
  <c r="B19" i="3"/>
  <c r="L17" i="3"/>
  <c r="AA15" i="3"/>
  <c r="J14" i="3"/>
  <c r="Z12" i="3"/>
  <c r="B11" i="3"/>
  <c r="L9" i="3"/>
  <c r="AA7" i="3"/>
  <c r="AA160" i="3"/>
  <c r="Z160" i="3" s="1"/>
  <c r="B148" i="3"/>
  <c r="J135" i="3"/>
  <c r="L122" i="3"/>
  <c r="Z109" i="3"/>
  <c r="J103" i="3"/>
  <c r="AA96" i="3"/>
  <c r="Z96" i="3" s="1"/>
  <c r="L90" i="3"/>
  <c r="B84" i="3"/>
  <c r="Z77" i="3"/>
  <c r="B72" i="3"/>
  <c r="B68" i="3"/>
  <c r="AA63" i="3"/>
  <c r="Z63" i="3" s="1"/>
  <c r="B60" i="3"/>
  <c r="J57" i="3"/>
  <c r="L54" i="3"/>
  <c r="B52" i="3"/>
  <c r="L49" i="3"/>
  <c r="B47" i="3"/>
  <c r="AA44" i="3"/>
  <c r="Z44" i="3" s="1"/>
  <c r="AA42" i="3"/>
  <c r="Z42" i="3" s="1"/>
  <c r="J41" i="3"/>
  <c r="Z39" i="3"/>
  <c r="B38" i="3"/>
  <c r="L36" i="3"/>
  <c r="AA34" i="3"/>
  <c r="Z34" i="3" s="1"/>
  <c r="J33" i="3"/>
  <c r="Z31" i="3"/>
  <c r="B30" i="3"/>
  <c r="L28" i="3"/>
  <c r="AA26" i="3"/>
  <c r="Z26" i="3" s="1"/>
  <c r="J25" i="3"/>
  <c r="Z23" i="3"/>
  <c r="B22" i="3"/>
  <c r="L20" i="3"/>
  <c r="AA18" i="3"/>
  <c r="Z18" i="3" s="1"/>
  <c r="J17" i="3"/>
  <c r="Z15" i="3"/>
  <c r="B14" i="3"/>
  <c r="L12" i="3"/>
  <c r="AA10" i="3"/>
  <c r="Z10" i="3" s="1"/>
  <c r="J9" i="3"/>
  <c r="Z7" i="3"/>
</calcChain>
</file>

<file path=xl/sharedStrings.xml><?xml version="1.0" encoding="utf-8"?>
<sst xmlns="http://schemas.openxmlformats.org/spreadsheetml/2006/main" count="12140" uniqueCount="121">
  <si>
    <t>Publicá varios productos a la vez</t>
  </si>
  <si>
    <t>Completá los datos de lo que quieras vender.</t>
  </si>
  <si>
    <t>Categorías:</t>
  </si>
  <si>
    <t>Subí la planilla excel</t>
  </si>
  <si>
    <t>Cuando termines, recordá guardar y</t>
  </si>
  <si>
    <t>¿Necesitás ayuda?</t>
  </si>
  <si>
    <t>¿Qué significa cada color de las celdas?</t>
  </si>
  <si>
    <r>
      <rPr>
        <b/>
        <sz val="10"/>
        <color rgb="FF666666"/>
        <rFont val="Arial"/>
      </rPr>
      <t>No tenés que modificarla.</t>
    </r>
    <r>
      <rPr>
        <sz val="10"/>
        <color rgb="FF666666"/>
        <rFont val="Arial"/>
      </rPr>
      <t xml:space="preserve"> Este color marca los datos que vamos a completar con información del catálogo de Mercado Libre.</t>
    </r>
  </si>
  <si>
    <t>Hay un error que debés corregir. 
Revisá la ayuda general de la columna y verificá que cumplas con las indicaciones. El color cambiará a blanco cuando lo soluciones.</t>
  </si>
  <si>
    <t>Publicaciones de catálogo...</t>
  </si>
  <si>
    <t>¿Cómo publico con información de catálogo?</t>
  </si>
  <si>
    <r>
      <rPr>
        <sz val="10"/>
        <color rgb="FF666666"/>
        <rFont val="Arial"/>
      </rPr>
      <t xml:space="preserve">Si al configurar tu planilla </t>
    </r>
    <r>
      <rPr>
        <b/>
        <sz val="10"/>
        <color rgb="FF666666"/>
        <rFont val="Arial"/>
      </rPr>
      <t>buscaste tus productos por código universal y los agregaste</t>
    </r>
    <r>
      <rPr>
        <sz val="10"/>
        <color rgb="FF666666"/>
        <rFont val="Arial"/>
      </rPr>
      <t xml:space="preserve">, ya estás usando información del catálogo.  
</t>
    </r>
    <r>
      <rPr>
        <b/>
        <sz val="10"/>
        <color rgb="FF666666"/>
        <rFont val="Arial"/>
      </rPr>
      <t>Si no buscaste tus productos</t>
    </r>
    <r>
      <rPr>
        <sz val="10"/>
        <color rgb="FF666666"/>
        <rFont val="Arial"/>
      </rPr>
      <t xml:space="preserve"> por código universal antes de descargar la planilla, </t>
    </r>
    <r>
      <rPr>
        <b/>
        <sz val="10"/>
        <color rgb="FF666666"/>
        <rFont val="Arial"/>
      </rPr>
      <t>buscá tus productos en el buscador y pegá el código en la columna códigos de ML</t>
    </r>
    <r>
      <rPr>
        <sz val="10"/>
        <color rgb="FF666666"/>
        <rFont val="Arial"/>
      </rPr>
      <t xml:space="preserve"> para usar la información de los productos de catálogo.</t>
    </r>
  </si>
  <si>
    <t>Publicaciones del listado general...</t>
  </si>
  <si>
    <t>¿Cómo crear variantes?</t>
  </si>
  <si>
    <t>Las variantes son diferentes opciones de un mismo producto. Para crearlas, seguí estos pasos:</t>
  </si>
  <si>
    <r>
      <rPr>
        <sz val="10"/>
        <color rgb="FF666666"/>
        <rFont val="Arial"/>
      </rPr>
      <t xml:space="preserve">1. </t>
    </r>
    <r>
      <rPr>
        <b/>
        <sz val="10"/>
        <color rgb="FF666666"/>
        <rFont val="Arial"/>
      </rPr>
      <t>Completá en una fila la información de la primera variante.</t>
    </r>
    <r>
      <rPr>
        <sz val="10"/>
        <color rgb="FF666666"/>
        <rFont val="Arial"/>
      </rPr>
      <t xml:space="preserve"> Creá un título genérico porque será el mismo para todas.
2. </t>
    </r>
    <r>
      <rPr>
        <b/>
        <sz val="10"/>
        <color rgb="FF666666"/>
        <rFont val="Arial"/>
      </rPr>
      <t xml:space="preserve">Copiá la fila por el número de variantes que quieras crear. 
</t>
    </r>
    <r>
      <rPr>
        <sz val="10"/>
        <color rgb="FF666666"/>
        <rFont val="Arial"/>
      </rPr>
      <t xml:space="preserve">
3. </t>
    </r>
    <r>
      <rPr>
        <b/>
        <sz val="10"/>
        <color rgb="FF666666"/>
        <rFont val="Arial"/>
      </rPr>
      <t>Mantené igual la información que te indicamos</t>
    </r>
    <r>
      <rPr>
        <sz val="10"/>
        <color rgb="FF666666"/>
        <rFont val="Arial"/>
      </rPr>
      <t xml:space="preserve"> en los títulos de las columnas para que identifiquemos las variantes. 
4. </t>
    </r>
    <r>
      <rPr>
        <b/>
        <sz val="10"/>
        <color rgb="FF666666"/>
        <rFont val="Arial"/>
      </rPr>
      <t>Modificá la información por la que varía tu producto</t>
    </r>
    <r>
      <rPr>
        <sz val="10"/>
        <color rgb="FF666666"/>
        <rFont val="Arial"/>
      </rPr>
      <t xml:space="preserve">, como el color, talle y otras características.
5. </t>
    </r>
    <r>
      <rPr>
        <b/>
        <sz val="10"/>
        <color rgb="FF666666"/>
        <rFont val="Arial"/>
      </rPr>
      <t>Diferenciá tus variantes.</t>
    </r>
    <r>
      <rPr>
        <sz val="10"/>
        <color rgb="FF666666"/>
        <rFont val="Arial"/>
      </rPr>
      <t xml:space="preserve"> Agregá las fotos, SKU, cantidad, precio y otras condiciones de venta propias de cada variante.</t>
    </r>
  </si>
  <si>
    <t>¿Cómo agregar las fotos de mis productos?</t>
  </si>
  <si>
    <t>Copiá las URLs de las fotos  (podés obtenerlas desde nuestro gestor de fotos, tu sitio web, un servidor, etc.) y pegalas, separadas por comas, en la columna de fotos.</t>
  </si>
  <si>
    <t xml:space="preserve">Requisitos para tener buenas fotos
</t>
  </si>
  <si>
    <t>Generales</t>
  </si>
  <si>
    <t>· El tamaño debe ser de 1200 x 1200 px, para que los compradores puedan hacer zoom. Podés usar fotos con mínimo 500 px en uno de sus lados.
· Usá un fondo blanco puro digital, para que tu producto se destaque.
· No agregues bordes, logos ni marcas de agua.</t>
  </si>
  <si>
    <t>Para productos de moda</t>
  </si>
  <si>
    <t>· Usá un modelo o maniquí invisible según tu tipo de prenda.
· En moda también permitimos fondos claros como gris o crema para que contrasten con el color de tu prenda. 
· Evitá tomar fotos tipo selfie, en exteriores o que tapen el producto.</t>
  </si>
  <si>
    <t>200214737-bulk-sell-503bc80f3946</t>
  </si>
  <si>
    <t>2025-12-20</t>
  </si>
  <si>
    <t>d077c3a7-bdf0-4118-8528-9713c44f5014</t>
  </si>
  <si>
    <t>Hacelo antes del 20 de diciembre.</t>
  </si>
  <si>
    <t>Para productos de hogar y muebles</t>
  </si>
  <si>
    <t>· Usá un fondo profesional que muestre al producto en su ambiente de uso o editá la foto para incluir un fondo gris claro.
· Asegurate de que el producto esté bien iluminado. Evitá la luz directa y las sombras pronunciadas.
· Evitá las fotos con personas o con objetos que tapen el producto.</t>
  </si>
  <si>
    <t>Quiero saber más</t>
  </si>
  <si>
    <r>
      <t>Título: incluí producto, marca, modelo y destaca sus características principales</t>
    </r>
    <r>
      <rPr>
        <i/>
        <sz val="8"/>
        <rFont val="Arial"/>
      </rPr>
      <t xml:space="preserve"> 
Si creás variantes, tenés que crear un título general para todas</t>
    </r>
  </si>
  <si>
    <t>Obligatorio</t>
  </si>
  <si>
    <t/>
  </si>
  <si>
    <r>
      <t>Máximo 60 caracteres.</t>
    </r>
    <r>
      <rPr>
        <sz val="10"/>
        <rFont val="Arial"/>
      </rPr>
      <t xml:space="preserve"> Una vez que vendas no podrás editarlo. Si tu producto es genérico, indica su marca real y/o aclara que es "compatible con" otras marcas.</t>
    </r>
  </si>
  <si>
    <t>Cantidad de caracteres</t>
  </si>
  <si>
    <t>Condición</t>
  </si>
  <si>
    <t>Nuevo</t>
  </si>
  <si>
    <t>Indicá la condición del producto y evitá reclamos de tus compradores.</t>
  </si>
  <si>
    <t>Ver política</t>
  </si>
  <si>
    <t>Agro &gt; Repuestos Maquinaria Agrícola &gt; Motor &gt; Bombas &gt; Bombas de Aceite</t>
  </si>
  <si>
    <t>Bombas de Aceite</t>
  </si>
  <si>
    <t>Código universal de producto</t>
  </si>
  <si>
    <t>Tiene entre 8 y 14 números. 
Puede ser un EAN, UPC u otro GTIN.</t>
  </si>
  <si>
    <t>Identificar el código universal</t>
  </si>
  <si>
    <t>Fotos</t>
  </si>
  <si>
    <t>Ingresá al Gestor de fotos para obtener las URLs. Después, regresá a esta planilla y pegalas en la celda correspondiente.</t>
  </si>
  <si>
    <t>Obtener las URLs en el gestor de fotos</t>
  </si>
  <si>
    <t>SKU</t>
  </si>
  <si>
    <t>Stock</t>
  </si>
  <si>
    <t>Características principales</t>
  </si>
  <si>
    <t>Precio [$]</t>
  </si>
  <si>
    <r>
      <t>Si querés crear variantes, recordá que deben tener el mismo precio.</t>
    </r>
    <r>
      <rPr>
        <sz val="10"/>
        <rFont val="Arial"/>
      </rPr>
      <t xml:space="preserve"> 
Precio mínimo: 1000,00 en moneda local</t>
    </r>
    <r>
      <rPr>
        <sz val="10"/>
        <rFont val="Arial"/>
      </rPr>
      <t xml:space="preserve"> 
Máximo 2 decimales, sin el signo $.</t>
    </r>
  </si>
  <si>
    <t>Descripción</t>
  </si>
  <si>
    <t>No incluyas datos de contacto como e-mails, teléfonos, direcciones, links externos o redes sociales.
Ingresa texto plano, sin emojis ni formato HTML.</t>
  </si>
  <si>
    <t>Información del producto</t>
  </si>
  <si>
    <t xml:space="preserve">Cargo por vender </t>
  </si>
  <si>
    <t>Es el cargo que pagarás por cada venta concretada.</t>
  </si>
  <si>
    <t>Cuotas</t>
  </si>
  <si>
    <t>Agregar cuotas</t>
  </si>
  <si>
    <t>No agregar cuotas</t>
  </si>
  <si>
    <t>Algunas opciones no están disponibles en este editor.</t>
  </si>
  <si>
    <t>Costo por ofrecer cuotas</t>
  </si>
  <si>
    <t>Este costo varía dependiendo de las opciones de cuotas que agregues en tu publicación.</t>
  </si>
  <si>
    <t>Forma de envío</t>
  </si>
  <si>
    <t>Mercado Envíos</t>
  </si>
  <si>
    <t>Costo de envío</t>
  </si>
  <si>
    <t>Seleccionar</t>
  </si>
  <si>
    <t>A cargo del comprador</t>
  </si>
  <si>
    <t>Ofrecés envío gratis</t>
  </si>
  <si>
    <t>Seleccioná la forma de envío de tu producto. Tené en cuenta que ofrecer envío gratis dependerá de la categoría y el precio.</t>
  </si>
  <si>
    <t xml:space="preserve"> Conocé más sobre envíos</t>
  </si>
  <si>
    <t>Retiro en persona</t>
  </si>
  <si>
    <t>Acepto</t>
  </si>
  <si>
    <t>No acepto</t>
  </si>
  <si>
    <t>Tipo de garantía</t>
  </si>
  <si>
    <t>Garantía del vendedor</t>
  </si>
  <si>
    <t>Garantía de fábrica</t>
  </si>
  <si>
    <t>Sin garantía</t>
  </si>
  <si>
    <t>Tiempo de garantía</t>
  </si>
  <si>
    <t>Escribí solo números.</t>
  </si>
  <si>
    <t>Unidad de Tiempo de garantía</t>
  </si>
  <si>
    <t>días</t>
  </si>
  <si>
    <t>meses</t>
  </si>
  <si>
    <t>años</t>
  </si>
  <si>
    <t>Seleccioná la unidad de medida.</t>
  </si>
  <si>
    <t>Condiciones de la publicación</t>
  </si>
  <si>
    <t>Marca</t>
  </si>
  <si>
    <t>Para evitar infracciones de propiedad intelectual y reclamos de tus compradores, siempre escribe aquí la marca real del producto o "genérico" si no tiene marca.</t>
  </si>
  <si>
    <t>Número de pieza</t>
  </si>
  <si>
    <t>Origen</t>
  </si>
  <si>
    <t>Escribí o elegí un valor</t>
  </si>
  <si>
    <t>Alemania</t>
  </si>
  <si>
    <t>Argentina</t>
  </si>
  <si>
    <t>Brasil</t>
  </si>
  <si>
    <t>China</t>
  </si>
  <si>
    <t>Estados Unidos</t>
  </si>
  <si>
    <t>Francia</t>
  </si>
  <si>
    <t>Japón</t>
  </si>
  <si>
    <t>México</t>
  </si>
  <si>
    <t>Incluye juntas</t>
  </si>
  <si>
    <t>No</t>
  </si>
  <si>
    <t>Sí</t>
  </si>
  <si>
    <t>Incluye eje de transmisión</t>
  </si>
  <si>
    <t>Incluye engranaje conducido</t>
  </si>
  <si>
    <t>Incluye válvula solenoide</t>
  </si>
  <si>
    <r>
      <t>Características del producto</t>
    </r>
    <r>
      <rPr>
        <sz val="10"/>
        <rFont val="Arial"/>
      </rPr>
      <t xml:space="preserve"> 
Si creás variantes, tenés que mantener esta información igual en todas</t>
    </r>
  </si>
  <si>
    <t>Resumen de errores</t>
  </si>
  <si>
    <t>Revisá los campos obligatorios que están en rojo y completalos para subir tu planilla</t>
  </si>
  <si>
    <t>Cómo completar la planilla</t>
  </si>
  <si>
    <t>BUYBOX_FORMULA</t>
  </si>
  <si>
    <t>HIDDEN_PICTURES</t>
  </si>
  <si>
    <t>Bomba Aceite Motosierra Niwa/gamma/lusqtoff 45/50cc Nk5433</t>
  </si>
  <si>
    <t>Bomba De Aceite Para Motosierra Gamma Nk5590</t>
  </si>
  <si>
    <t>Usado</t>
  </si>
  <si>
    <t>http://http2.mlstatic.com/D_685330-MLA83993435335_042025-O.jpg,http://http2.mlstatic.com/D_745531-MLA83993435321_042025-O.jpg,http://http2.mlstatic.com/D_991232-MLA83993385939_042025-O.jpg,http://http2.mlstatic.com/D_836675-MLA83699529084_042025-O.jpg</t>
  </si>
  <si>
    <t>http://http2.mlstatic.com/D_988675-MLA84345294495_052025-O.jpg,http://http2.mlstatic.com/D_839704-MLA84048695848_052025-O.jpg,http://http2.mlstatic.com/D_991759-MLA84048412666_052025-O.jpg,http://http2.mlstatic.com/D_688899-MLA84344475249_052025-O.jpg,http://http2.mlstatic.com/D_824711-MLA84048745174_052025-O.jpg</t>
  </si>
  <si>
    <t>tecni 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t>
  </si>
  <si>
    <t>tecni i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t>
  </si>
  <si>
    <t>genérico</t>
  </si>
  <si>
    <t>5433</t>
  </si>
  <si>
    <t>5590</t>
  </si>
</sst>
</file>

<file path=xl/styles.xml><?xml version="1.0" encoding="utf-8"?>
<styleSheet xmlns="http://schemas.openxmlformats.org/spreadsheetml/2006/main" xmlns:mc="http://schemas.openxmlformats.org/markup-compatibility/2006" xmlns:x14ac="http://schemas.microsoft.com/office/spreadsheetml/2009/9/ac" mc:Ignorable="x14ac">
  <fonts count="77">
    <font>
      <sz val="10"/>
      <color rgb="FF000000"/>
      <name val="Arial"/>
      <scheme val="minor"/>
    </font>
    <font>
      <sz val="14"/>
      <color rgb="FF666666"/>
      <name val="Arial"/>
    </font>
    <font>
      <sz val="10"/>
      <color rgb="FF000000"/>
      <name val="Arial"/>
    </font>
    <font>
      <sz val="21"/>
      <color rgb="FF333333"/>
      <name val="Arial"/>
    </font>
    <font>
      <sz val="12"/>
      <color rgb="FF666666"/>
      <name val="Arial"/>
    </font>
    <font>
      <sz val="10"/>
      <name val="Arial"/>
    </font>
    <font>
      <sz val="10"/>
      <color theme="1"/>
      <name val="Arial"/>
    </font>
    <font>
      <b/>
      <sz val="14"/>
      <color rgb="FF333333"/>
      <name val="Arial"/>
    </font>
    <font>
      <sz val="10"/>
      <color rgb="FF434343"/>
      <name val="Arial"/>
    </font>
    <font>
      <sz val="14"/>
      <color rgb="FF434343"/>
      <name val="Arial"/>
    </font>
    <font>
      <sz val="10"/>
      <color rgb="FF666666"/>
      <name val="Arial"/>
    </font>
    <font>
      <u/>
      <sz val="10"/>
      <color theme="10"/>
      <name val="Arial"/>
    </font>
    <font>
      <b/>
      <sz val="12"/>
      <color rgb="FF999999"/>
      <name val="Arial"/>
    </font>
    <font>
      <b/>
      <sz val="11"/>
      <color rgb="FF000000"/>
      <name val="Arial"/>
    </font>
    <font>
      <b/>
      <sz val="10"/>
      <color rgb="FF666666"/>
      <name val="Arial"/>
    </font>
    <font>
      <sz val="10"/>
      <color rgb="FFB53028"/>
      <name val="Arial"/>
    </font>
    <font>
      <b/>
      <sz val="12"/>
      <color rgb="FF000000"/>
      <name val="Arial"/>
    </font>
    <font>
      <u/>
      <sz val="10"/>
      <color theme="10"/>
      <name val="Arial"/>
    </font>
    <font>
      <b/>
      <sz val="12"/>
      <color theme="1"/>
      <name val="Arial"/>
    </font>
    <font>
      <b/>
      <u/>
      <sz val="10"/>
      <color rgb="FF0000FF"/>
      <name val="Arial"/>
    </font>
    <font>
      <b/>
      <sz val="11"/>
      <color theme="1"/>
      <name val="Arial"/>
    </font>
    <font>
      <b/>
      <sz val="12"/>
      <color rgb="FF666666"/>
      <name val="Arial"/>
    </font>
    <font>
      <b/>
      <u/>
      <sz val="10"/>
      <color rgb="FF1155CC"/>
      <name val="Arial"/>
    </font>
    <font>
      <sz val="10"/>
      <color theme="1"/>
      <name val="Arial"/>
    </font>
    <font>
      <b/>
      <sz val="10"/>
      <color rgb="FF666666"/>
      <name val="Arial"/>
    </font>
    <font>
      <sz val="10"/>
      <color rgb="FF666666"/>
      <name val="Arial"/>
    </font>
    <font>
      <b/>
      <u/>
      <sz val="10"/>
      <color rgb="FF1155CC"/>
      <name val="Arial"/>
    </font>
    <font>
      <sz val="11"/>
      <name val="Arial"/>
    </font>
    <font>
      <i/>
      <sz val="8"/>
      <name val="Arial"/>
    </font>
    <font>
      <b/>
      <sz val="9"/>
      <name val="Arial"/>
    </font>
    <font>
      <i/>
      <sz val="9"/>
      <color rgb="FF85200C"/>
      <name val="Arial"/>
    </font>
    <font>
      <sz val="10"/>
      <name val="Arial"/>
    </font>
    <font>
      <b/>
      <sz val="10"/>
      <name val="Arial"/>
    </font>
    <font>
      <b/>
      <sz val="9"/>
      <name val="Arial"/>
    </font>
    <font>
      <b/>
      <sz val="10"/>
      <name val="Arial"/>
    </font>
    <font>
      <b/>
      <sz val="9"/>
      <name val="Arial"/>
    </font>
    <font>
      <sz val="10"/>
      <name val="Arial"/>
    </font>
    <font>
      <b/>
      <u/>
      <sz val="9"/>
      <color rgb="FF1218DC"/>
      <name val="Roboto"/>
    </font>
    <font>
      <b/>
      <sz val="10"/>
      <color rgb="FF919191"/>
      <name val="Arial"/>
    </font>
    <font>
      <b/>
      <sz val="14"/>
      <name val="Arial"/>
    </font>
    <font>
      <b/>
      <sz val="9"/>
      <name val="Arial"/>
    </font>
    <font>
      <sz val="11"/>
      <name val="Arial"/>
    </font>
    <font>
      <b/>
      <sz val="9"/>
      <name val="Arial"/>
    </font>
    <font>
      <b/>
      <sz val="9"/>
      <name val="Arial"/>
    </font>
    <font>
      <b/>
      <sz val="9"/>
      <name val="Arial"/>
    </font>
    <font>
      <b/>
      <sz val="10"/>
      <name val="Arial"/>
    </font>
    <font>
      <b/>
      <sz val="9"/>
      <name val="Arial"/>
    </font>
    <font>
      <sz val="11"/>
      <name val="Arial"/>
    </font>
    <font>
      <b/>
      <sz val="9"/>
      <name val="Arial"/>
    </font>
    <font>
      <sz val="10"/>
      <name val="Arial"/>
    </font>
    <font>
      <b/>
      <sz val="10"/>
      <name val="Arial"/>
    </font>
    <font>
      <b/>
      <sz val="9"/>
      <name val="Arial"/>
    </font>
    <font>
      <b/>
      <sz val="9"/>
      <name val="Arial"/>
    </font>
    <font>
      <b/>
      <sz val="9"/>
      <name val="Arial"/>
    </font>
    <font>
      <b/>
      <sz val="9"/>
      <name val="Arial"/>
    </font>
    <font>
      <b/>
      <sz val="9"/>
      <name val="Arial"/>
    </font>
    <font>
      <b/>
      <sz val="9"/>
      <name val="Arial"/>
    </font>
    <font>
      <b/>
      <sz val="9"/>
      <name val="Arial"/>
    </font>
    <font>
      <b/>
      <sz val="9"/>
      <name val="Arial"/>
    </font>
    <font>
      <b/>
      <sz val="9"/>
      <name val="Arial"/>
    </font>
    <font>
      <b/>
      <sz val="10"/>
      <name val="Arial"/>
    </font>
    <font>
      <b/>
      <sz val="9"/>
      <name val="Arial"/>
    </font>
    <font>
      <b/>
      <sz val="9"/>
      <name val="Arial"/>
    </font>
    <font>
      <b/>
      <sz val="9"/>
      <name val="Arial"/>
    </font>
    <font>
      <b/>
      <sz val="9"/>
      <name val="Arial"/>
    </font>
    <font>
      <b/>
      <sz val="9"/>
      <name val="Arial"/>
    </font>
    <font>
      <b/>
      <sz val="9"/>
      <name val="Arial"/>
    </font>
    <font>
      <b/>
      <sz val="9"/>
      <name val="Arial"/>
    </font>
    <font>
      <b/>
      <sz val="10"/>
      <name val="Arial"/>
    </font>
    <font>
      <sz val="11"/>
      <name val="Arial"/>
    </font>
    <font>
      <b/>
      <sz val="9"/>
      <name val="Arial"/>
    </font>
    <font>
      <b/>
      <sz val="10"/>
      <name val="Arial"/>
    </font>
    <font>
      <sz val="11"/>
      <name val="Arial"/>
    </font>
    <font>
      <b/>
      <sz val="9"/>
      <name val="Arial"/>
    </font>
    <font>
      <b/>
      <sz val="9"/>
      <name val="Arial"/>
    </font>
    <font>
      <sz val="11"/>
      <name val="Arial"/>
    </font>
    <font>
      <b/>
      <u/>
      <sz val="10"/>
      <color rgb="FF1218DC"/>
      <name val="Roboto"/>
    </font>
  </fonts>
  <fills count="24">
    <fill>
      <patternFill patternType="none"/>
    </fill>
    <fill>
      <patternFill patternType="gray125"/>
    </fill>
    <fill>
      <patternFill patternType="solid">
        <fgColor rgb="FFFFF158"/>
        <bgColor rgb="FFFFF158"/>
      </patternFill>
    </fill>
    <fill>
      <patternFill patternType="solid">
        <fgColor theme="0"/>
        <bgColor theme="0"/>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4CCCC"/>
        <bgColor rgb="FFF4CCCC"/>
      </patternFill>
    </fill>
    <fill>
      <patternFill patternType="solid">
        <fgColor rgb="FFFFFFFF"/>
        <bgColor rgb="FFFFFFFF"/>
      </patternFill>
    </fill>
    <fill>
      <patternFill patternType="solid">
        <fgColor rgb="FFF9F9F9"/>
      </patternFill>
    </fill>
    <fill>
      <patternFill patternType="solid">
        <fgColor rgb="FFFFF158"/>
      </patternFill>
    </fill>
    <fill>
      <patternFill patternType="solid">
        <fgColor rgb="FFF3F3F3"/>
      </patternFill>
    </fill>
    <fill>
      <patternFill patternType="solid">
        <fgColor rgb="FFFFFFFF"/>
      </patternFill>
    </fill>
    <fill>
      <patternFill patternType="solid">
        <fgColor rgb="FFFFD966"/>
      </patternFill>
    </fill>
    <fill>
      <patternFill patternType="solid">
        <fgColor rgb="FFFFF2CC"/>
      </patternFill>
    </fill>
    <fill>
      <patternFill patternType="solid">
        <fgColor rgb="FFF6B26B"/>
      </patternFill>
    </fill>
    <fill>
      <patternFill patternType="solid">
        <fgColor rgb="FFFCE5CD"/>
      </patternFill>
    </fill>
    <fill>
      <patternFill patternType="solid">
        <fgColor rgb="FFB1DA9F"/>
      </patternFill>
    </fill>
    <fill>
      <patternFill patternType="solid">
        <fgColor rgb="FFD9EAD3"/>
      </patternFill>
    </fill>
    <fill>
      <patternFill patternType="solid">
        <fgColor rgb="FF76A5AF"/>
      </patternFill>
    </fill>
    <fill>
      <patternFill patternType="solid">
        <fgColor rgb="FFD0E0E3"/>
      </patternFill>
    </fill>
    <fill>
      <patternFill patternType="solid">
        <fgColor rgb="FFEA9999"/>
      </patternFill>
    </fill>
    <fill>
      <patternFill patternType="solid">
        <fgColor rgb="FFF0DCDC"/>
      </patternFill>
    </fill>
    <fill>
      <patternFill patternType="solid">
        <fgColor rgb="FFCFCFCF"/>
      </patternFill>
    </fill>
  </fills>
  <borders count="130">
    <border>
      <left/>
      <right/>
      <top/>
      <bottom/>
      <diagonal/>
    </border>
    <border>
      <left style="medium">
        <color rgb="FFFFF158"/>
      </left>
      <right style="medium">
        <color rgb="FFFFF158"/>
      </right>
      <top/>
      <bottom style="medium">
        <color rgb="FFFFF158"/>
      </bottom>
      <diagonal/>
    </border>
    <border>
      <left style="medium">
        <color rgb="FFFFF158"/>
      </left>
      <right style="medium">
        <color rgb="FFFFF158"/>
      </right>
      <top/>
      <bottom/>
      <diagonal/>
    </border>
    <border>
      <left style="medium">
        <color rgb="FFFFF158"/>
      </left>
      <right/>
      <top/>
      <bottom style="medium">
        <color rgb="FFFFF158"/>
      </bottom>
      <diagonal/>
    </border>
    <border>
      <left/>
      <right/>
      <top/>
      <bottom/>
      <diagonal/>
    </border>
    <border>
      <left style="medium">
        <color rgb="FFFFF158"/>
      </left>
      <right style="medium">
        <color rgb="FFFFF158"/>
      </right>
      <top style="medium">
        <color rgb="FFFFF158"/>
      </top>
      <bottom style="medium">
        <color rgb="FFFFF158"/>
      </bottom>
      <diagonal/>
    </border>
    <border>
      <left/>
      <right/>
      <top style="medium">
        <color rgb="FFFFF158"/>
      </top>
      <bottom style="medium">
        <color rgb="FFFFF158"/>
      </bottom>
      <diagonal/>
    </border>
    <border>
      <left/>
      <right style="thin">
        <color rgb="FFFFF158"/>
      </right>
      <top style="medium">
        <color rgb="FFFFF158"/>
      </top>
      <bottom style="medium">
        <color rgb="FFFFF158"/>
      </bottom>
      <diagonal/>
    </border>
    <border>
      <left/>
      <right/>
      <top style="medium">
        <color rgb="FFFFF158"/>
      </top>
      <bottom/>
      <diagonal/>
    </border>
    <border>
      <left style="thin">
        <color rgb="FFFFF158"/>
      </left>
      <right style="thin">
        <color rgb="FFFFF158"/>
      </right>
      <top style="thin">
        <color rgb="FFFFF158"/>
      </top>
      <bottom style="thin">
        <color rgb="FFFFF158"/>
      </bottom>
      <diagonal/>
    </border>
    <border>
      <left style="medium">
        <color rgb="FFFFF158"/>
      </left>
      <right style="medium">
        <color rgb="FFFFF158"/>
      </right>
      <top style="medium">
        <color rgb="FFFFF158"/>
      </top>
      <bottom/>
      <diagonal/>
    </border>
    <border>
      <left/>
      <right/>
      <top/>
      <bottom style="thin">
        <color rgb="FFFFF158"/>
      </bottom>
      <diagonal/>
    </border>
    <border>
      <left style="thin">
        <color rgb="FFFFF158"/>
      </left>
      <right/>
      <top style="thin">
        <color rgb="FFFFF158"/>
      </top>
      <bottom style="thin">
        <color rgb="FFFFF158"/>
      </bottom>
      <diagonal/>
    </border>
    <border>
      <left/>
      <right/>
      <top style="thin">
        <color rgb="FFFFF158"/>
      </top>
      <bottom style="thin">
        <color rgb="FFFFF158"/>
      </bottom>
      <diagonal/>
    </border>
    <border>
      <left/>
      <right/>
      <top style="thin">
        <color rgb="FFFFF158"/>
      </top>
      <bottom style="thin">
        <color rgb="FFFFF158"/>
      </bottom>
      <diagonal/>
    </border>
    <border>
      <left/>
      <right/>
      <top/>
      <bottom/>
      <diagonal/>
    </border>
    <border>
      <left/>
      <right/>
      <top/>
      <bottom/>
      <diagonal/>
    </border>
    <border>
      <left/>
      <right/>
      <top/>
      <bottom/>
      <diagonal/>
    </border>
    <border>
      <left style="medium">
        <color rgb="FFF5F5F5"/>
      </left>
      <right/>
      <top style="thin">
        <color rgb="FFF5F5F5"/>
      </top>
      <bottom style="medium">
        <color rgb="FFF5F5F5"/>
      </bottom>
      <diagonal/>
    </border>
    <border>
      <left/>
      <right/>
      <top style="thin">
        <color rgb="FFF5F5F5"/>
      </top>
      <bottom style="medium">
        <color rgb="FFF5F5F5"/>
      </bottom>
      <diagonal/>
    </border>
    <border>
      <left/>
      <right style="medium">
        <color rgb="FFF5F5F5"/>
      </right>
      <top style="thin">
        <color rgb="FFF5F5F5"/>
      </top>
      <bottom style="medium">
        <color rgb="FFF5F5F5"/>
      </bottom>
      <diagonal/>
    </border>
    <border>
      <left style="medium">
        <color rgb="FFF5F5F5"/>
      </left>
      <right style="thin">
        <color rgb="FFD9D9D9"/>
      </right>
      <top style="thin">
        <color rgb="FFF5F5F5"/>
      </top>
      <bottom/>
      <diagonal/>
    </border>
    <border>
      <left style="thin">
        <color rgb="FFD9D9D9"/>
      </left>
      <right style="medium">
        <color rgb="FFF9F9F9"/>
      </right>
      <top style="thin">
        <color rgb="FFF5F5F5"/>
      </top>
      <bottom/>
      <diagonal/>
    </border>
    <border>
      <left/>
      <right/>
      <top style="thin">
        <color rgb="FFF9F9F9"/>
      </top>
      <bottom style="medium">
        <color rgb="FFF9F9F9"/>
      </bottom>
      <diagonal/>
    </border>
    <border>
      <left/>
      <right/>
      <top style="thin">
        <color rgb="FFF9F9F9"/>
      </top>
      <bottom style="medium">
        <color rgb="FFF9F9F9"/>
      </bottom>
      <diagonal/>
    </border>
    <border>
      <left/>
      <right/>
      <top style="thin">
        <color rgb="FFF9F9F9"/>
      </top>
      <bottom style="medium">
        <color rgb="FFF9F9F9"/>
      </bottom>
      <diagonal/>
    </border>
    <border>
      <left style="medium">
        <color rgb="FFF5F5F5"/>
      </left>
      <right style="medium">
        <color rgb="FFF5F5F5"/>
      </right>
      <top style="medium">
        <color rgb="FFF5F5F5"/>
      </top>
      <bottom style="medium">
        <color rgb="FFF5F5F5"/>
      </bottom>
      <diagonal/>
    </border>
    <border>
      <left style="medium">
        <color rgb="FFF5F5F5"/>
      </left>
      <right style="thin">
        <color rgb="FFD9D9D9"/>
      </right>
      <top/>
      <bottom/>
      <diagonal/>
    </border>
    <border>
      <left style="thin">
        <color rgb="FFD9D9D9"/>
      </left>
      <right style="medium">
        <color rgb="FFF9F9F9"/>
      </right>
      <top/>
      <bottom/>
      <diagonal/>
    </border>
    <border>
      <left style="medium">
        <color rgb="FFF9F9F9"/>
      </left>
      <right style="medium">
        <color rgb="FFF9F9F9"/>
      </right>
      <top/>
      <bottom style="medium">
        <color rgb="FFF9F9F9"/>
      </bottom>
      <diagonal/>
    </border>
    <border>
      <left style="medium">
        <color rgb="FFF9F9F9"/>
      </left>
      <right style="medium">
        <color rgb="FFF9F9F9"/>
      </right>
      <top style="medium">
        <color rgb="FFF9F9F9"/>
      </top>
      <bottom/>
      <diagonal/>
    </border>
    <border>
      <left style="medium">
        <color rgb="FFF9F9F9"/>
      </left>
      <right/>
      <top style="medium">
        <color rgb="FFF9F9F9"/>
      </top>
      <bottom/>
      <diagonal/>
    </border>
    <border>
      <left style="medium">
        <color rgb="FFF5F5F5"/>
      </left>
      <right/>
      <top style="medium">
        <color rgb="FFF5F5F5"/>
      </top>
      <bottom style="medium">
        <color rgb="FFF5F5F5"/>
      </bottom>
      <diagonal/>
    </border>
    <border>
      <left/>
      <right/>
      <top style="medium">
        <color rgb="FFF5F5F5"/>
      </top>
      <bottom style="medium">
        <color rgb="FFF5F5F5"/>
      </bottom>
      <diagonal/>
    </border>
    <border>
      <left/>
      <right style="medium">
        <color rgb="FFF5F5F5"/>
      </right>
      <top style="medium">
        <color rgb="FFF5F5F5"/>
      </top>
      <bottom style="medium">
        <color rgb="FFF5F5F5"/>
      </bottom>
      <diagonal/>
    </border>
    <border>
      <left style="thin">
        <color rgb="FFF9F9F9"/>
      </left>
      <right style="thin">
        <color rgb="FFF9F9F9"/>
      </right>
      <top style="thin">
        <color rgb="FFF9F9F9"/>
      </top>
      <bottom style="thin">
        <color rgb="FFF9F9F9"/>
      </bottom>
      <diagonal/>
    </border>
    <border>
      <left style="thin">
        <color rgb="FFF9F9F9"/>
      </left>
      <right style="thin">
        <color rgb="FFF9F9F9"/>
      </right>
      <top style="thin">
        <color rgb="FFF9F9F9"/>
      </top>
      <bottom/>
      <diagonal/>
    </border>
    <border>
      <left style="thin">
        <color rgb="FFF9F9F9"/>
      </left>
      <right/>
      <top style="thin">
        <color rgb="FFF9F9F9"/>
      </top>
      <bottom style="thin">
        <color rgb="FFF9F9F9"/>
      </bottom>
      <diagonal/>
    </border>
    <border>
      <left style="medium">
        <color rgb="FFF5F5F5"/>
      </left>
      <right/>
      <top style="medium">
        <color rgb="FFF5F5F5"/>
      </top>
      <bottom style="thin">
        <color rgb="FFF5F5F5"/>
      </bottom>
      <diagonal/>
    </border>
    <border>
      <left/>
      <right/>
      <top style="medium">
        <color rgb="FFF5F5F5"/>
      </top>
      <bottom style="thin">
        <color rgb="FFF5F5F5"/>
      </bottom>
      <diagonal/>
    </border>
    <border>
      <left/>
      <right style="thin">
        <color rgb="FFF5F5F5"/>
      </right>
      <top style="medium">
        <color rgb="FFF5F5F5"/>
      </top>
      <bottom style="thin">
        <color rgb="FFF5F5F5"/>
      </bottom>
      <diagonal/>
    </border>
    <border>
      <left style="medium">
        <color rgb="FFF9F9F9"/>
      </left>
      <right/>
      <top style="medium">
        <color rgb="FFF9F9F9"/>
      </top>
      <bottom/>
      <diagonal/>
    </border>
    <border>
      <left/>
      <right/>
      <top style="medium">
        <color rgb="FFF9F9F9"/>
      </top>
      <bottom/>
      <diagonal/>
    </border>
    <border>
      <left/>
      <right style="medium">
        <color rgb="FFF9F9F9"/>
      </right>
      <top style="medium">
        <color rgb="FFF9F9F9"/>
      </top>
      <bottom/>
      <diagonal/>
    </border>
    <border>
      <left/>
      <right/>
      <top style="thin">
        <color rgb="FFF9F9F9"/>
      </top>
      <bottom style="thin">
        <color rgb="FFF9F9F9"/>
      </bottom>
      <diagonal/>
    </border>
    <border>
      <left style="thin">
        <color rgb="FFF9F9F9"/>
      </left>
      <right/>
      <top style="thin">
        <color rgb="FFF9F9F9"/>
      </top>
      <bottom style="thin">
        <color rgb="FFF9F9F9"/>
      </bottom>
      <diagonal/>
    </border>
    <border>
      <left/>
      <right/>
      <top style="thin">
        <color rgb="FFF9F9F9"/>
      </top>
      <bottom style="thin">
        <color rgb="FFF9F9F9"/>
      </bottom>
      <diagonal/>
    </border>
    <border>
      <left/>
      <right style="thin">
        <color rgb="FFF9F9F9"/>
      </right>
      <top style="thin">
        <color rgb="FFF9F9F9"/>
      </top>
      <bottom style="thin">
        <color rgb="FFF9F9F9"/>
      </bottom>
      <diagonal/>
    </border>
    <border>
      <left style="medium">
        <color rgb="FFF9F9F9"/>
      </left>
      <right/>
      <top style="medium">
        <color rgb="FFF9F9F9"/>
      </top>
      <bottom style="thin">
        <color rgb="FFF9F9F9"/>
      </bottom>
      <diagonal/>
    </border>
    <border>
      <left/>
      <right/>
      <top style="medium">
        <color rgb="FFF9F9F9"/>
      </top>
      <bottom style="thin">
        <color rgb="FFF9F9F9"/>
      </bottom>
      <diagonal/>
    </border>
    <border>
      <left/>
      <right style="thin">
        <color rgb="FFF9F9F9"/>
      </right>
      <top style="medium">
        <color rgb="FFF9F9F9"/>
      </top>
      <bottom style="thin">
        <color rgb="FFF9F9F9"/>
      </bottom>
      <diagonal/>
    </border>
    <border>
      <left/>
      <right style="thin">
        <color rgb="FFF9F9F9"/>
      </right>
      <top/>
      <bottom/>
      <diagonal/>
    </border>
    <border>
      <left style="thin">
        <color rgb="FFF9F9F9"/>
      </left>
      <right/>
      <top style="thin">
        <color rgb="FFF9F9F9"/>
      </top>
      <bottom style="thin">
        <color rgb="FFF5F5F5"/>
      </bottom>
      <diagonal/>
    </border>
    <border>
      <left/>
      <right/>
      <top style="thin">
        <color rgb="FFF9F9F9"/>
      </top>
      <bottom style="thin">
        <color rgb="FFF5F5F5"/>
      </bottom>
      <diagonal/>
    </border>
    <border>
      <left/>
      <right style="thin">
        <color rgb="FFF9F9F9"/>
      </right>
      <top style="thin">
        <color rgb="FFF9F9F9"/>
      </top>
      <bottom style="thin">
        <color rgb="FFF5F5F5"/>
      </bottom>
      <diagonal/>
    </border>
    <border>
      <left style="medium">
        <color rgb="FFF5F5F5"/>
      </left>
      <right style="medium">
        <color rgb="FFF5F5F5"/>
      </right>
      <top style="medium">
        <color rgb="FFF5F5F5"/>
      </top>
      <bottom/>
      <diagonal/>
    </border>
    <border>
      <left style="thin">
        <color rgb="FFF9F9F9"/>
      </left>
      <right style="thin">
        <color rgb="FFF9F9F9"/>
      </right>
      <top/>
      <bottom/>
      <diagonal/>
    </border>
    <border>
      <left/>
      <right style="thin">
        <color rgb="FFF9F9F9"/>
      </right>
      <top/>
      <bottom/>
      <diagonal/>
    </border>
    <border>
      <left/>
      <right/>
      <top/>
      <bottom/>
      <diagonal/>
    </border>
    <border>
      <left/>
      <right/>
      <top/>
      <bottom/>
      <diagonal/>
    </border>
    <border>
      <left/>
      <right style="thin">
        <color rgb="FFF9F9F9"/>
      </right>
      <top/>
      <bottom/>
      <diagonal/>
    </border>
    <border>
      <left/>
      <right/>
      <top/>
      <bottom/>
      <diagonal/>
    </border>
    <border>
      <left/>
      <right style="thin">
        <color rgb="FFF9F9F9"/>
      </right>
      <top/>
      <bottom/>
      <diagonal/>
    </border>
    <border>
      <left/>
      <right/>
      <top/>
      <bottom/>
      <diagonal/>
    </border>
    <border>
      <left/>
      <right/>
      <top/>
      <bottom/>
      <diagonal/>
    </border>
    <border>
      <left/>
      <right style="thin">
        <color rgb="FFF9F9F9"/>
      </right>
      <top/>
      <bottom/>
      <diagonal/>
    </border>
    <border>
      <left style="thin">
        <color rgb="FFF4CCCC"/>
      </left>
      <right/>
      <top style="thin">
        <color rgb="FFF4CCCC"/>
      </top>
      <bottom style="thin">
        <color rgb="FFF4CCCC"/>
      </bottom>
      <diagonal/>
    </border>
    <border>
      <left/>
      <right style="thin">
        <color rgb="FFF4CCCC"/>
      </right>
      <top style="thin">
        <color rgb="FFF4CCCC"/>
      </top>
      <bottom style="thin">
        <color rgb="FFF4CCCC"/>
      </bottom>
      <diagonal/>
    </border>
    <border>
      <left style="medium">
        <color rgb="FFF5F5F5"/>
      </left>
      <right/>
      <top style="medium">
        <color rgb="FFF5F5F5"/>
      </top>
      <bottom/>
      <diagonal/>
    </border>
    <border>
      <left/>
      <right/>
      <top style="medium">
        <color rgb="FFF5F5F5"/>
      </top>
      <bottom/>
      <diagonal/>
    </border>
    <border>
      <left/>
      <right style="medium">
        <color rgb="FFF5F5F5"/>
      </right>
      <top style="medium">
        <color rgb="FFF5F5F5"/>
      </top>
      <bottom/>
      <diagonal/>
    </border>
    <border>
      <left style="medium">
        <color rgb="FFF5F5F5"/>
      </left>
      <right style="medium">
        <color rgb="FFF5F5F5"/>
      </right>
      <top/>
      <bottom/>
      <diagonal/>
    </border>
    <border>
      <left/>
      <right/>
      <top/>
      <bottom style="thin">
        <color rgb="FFCCCCCC"/>
      </bottom>
      <diagonal/>
    </border>
    <border>
      <left/>
      <right/>
      <top/>
      <bottom style="thin">
        <color rgb="FFCCCCCC"/>
      </bottom>
      <diagonal/>
    </border>
    <border>
      <left/>
      <right style="thin">
        <color rgb="FFF9F9F9"/>
      </right>
      <top/>
      <bottom style="thin">
        <color rgb="FFCCCCCC"/>
      </bottom>
      <diagonal/>
    </border>
    <border>
      <left style="medium">
        <color rgb="FFF5F5F5"/>
      </left>
      <right/>
      <top/>
      <bottom/>
      <diagonal/>
    </border>
    <border>
      <left/>
      <right style="medium">
        <color rgb="FFF5F5F5"/>
      </right>
      <top/>
      <bottom/>
      <diagonal/>
    </border>
    <border>
      <left style="medium">
        <color rgb="FFF9F9F9"/>
      </left>
      <right/>
      <top style="thin">
        <color rgb="FFF9F9F9"/>
      </top>
      <bottom style="medium">
        <color rgb="FFF9F9F9"/>
      </bottom>
      <diagonal/>
    </border>
    <border>
      <left style="medium">
        <color rgb="FFF9F9F9"/>
      </left>
      <right/>
      <top/>
      <bottom style="thin">
        <color rgb="FFF9F9F9"/>
      </bottom>
      <diagonal/>
    </border>
    <border>
      <left/>
      <right/>
      <top/>
      <bottom style="thin">
        <color rgb="FFF9F9F9"/>
      </bottom>
      <diagonal/>
    </border>
    <border>
      <left/>
      <right style="thin">
        <color rgb="FFF9F9F9"/>
      </right>
      <top/>
      <bottom style="thin">
        <color rgb="FFF9F9F9"/>
      </bottom>
      <diagonal/>
    </border>
    <border>
      <left style="medium">
        <color rgb="FFF9F9F9"/>
      </left>
      <right style="thin">
        <color rgb="FFF9F9F9"/>
      </right>
      <top/>
      <bottom style="thin">
        <color rgb="FFF9F9F9"/>
      </bottom>
      <diagonal/>
    </border>
    <border>
      <left/>
      <right style="medium">
        <color rgb="FFF9F9F9"/>
      </right>
      <top/>
      <bottom/>
      <diagonal/>
    </border>
    <border>
      <left/>
      <right style="medium">
        <color rgb="FFF9F9F9"/>
      </right>
      <top/>
      <bottom/>
      <diagonal/>
    </border>
    <border>
      <left style="thin">
        <color rgb="FFF9F9F9"/>
      </left>
      <right/>
      <top style="thin">
        <color rgb="FFF9F9F9"/>
      </top>
      <bottom/>
      <diagonal/>
    </border>
    <border>
      <left/>
      <right style="thin">
        <color rgb="FFF9F9F9"/>
      </right>
      <top style="thin">
        <color rgb="FFF9F9F9"/>
      </top>
      <bottom/>
      <diagonal/>
    </border>
    <border>
      <left/>
      <right/>
      <top/>
      <bottom style="medium">
        <color rgb="FFF9F9F9"/>
      </bottom>
      <diagonal/>
    </border>
    <border>
      <left/>
      <right/>
      <top/>
      <bottom style="medium">
        <color rgb="FFF9F9F9"/>
      </bottom>
      <diagonal/>
    </border>
    <border>
      <left/>
      <right style="medium">
        <color rgb="FFF9F9F9"/>
      </right>
      <top/>
      <bottom style="medium">
        <color rgb="FFF9F9F9"/>
      </bottom>
      <diagonal/>
    </border>
    <border>
      <left style="thin">
        <color rgb="FFF9F9F9"/>
      </left>
      <right/>
      <top/>
      <bottom style="thin">
        <color rgb="FFF9F9F9"/>
      </bottom>
      <diagonal/>
    </border>
    <border>
      <left/>
      <right style="thin">
        <color rgb="FFF9F9F9"/>
      </right>
      <top/>
      <bottom style="thin">
        <color rgb="FFF9F9F9"/>
      </bottom>
      <diagonal/>
    </border>
    <border>
      <left/>
      <right/>
      <top/>
      <bottom style="thin">
        <color rgb="FFF9F9F9"/>
      </bottom>
      <diagonal/>
    </border>
    <border>
      <left/>
      <right/>
      <top/>
      <bottom style="thin">
        <color rgb="FFF9F9F9"/>
      </bottom>
      <diagonal/>
    </border>
    <border>
      <left/>
      <right style="thin">
        <color rgb="FFF9F9F9"/>
      </right>
      <top/>
      <bottom style="thin">
        <color rgb="FFF9F9F9"/>
      </bottom>
      <diagonal/>
    </border>
    <border>
      <left style="thin">
        <color rgb="FFF9F9F9"/>
      </left>
      <right/>
      <top/>
      <bottom style="thin">
        <color rgb="FFCCCCCC"/>
      </bottom>
      <diagonal/>
    </border>
    <border>
      <left style="thin">
        <color rgb="FFF9F9F9"/>
      </left>
      <right/>
      <top/>
      <bottom style="thin">
        <color rgb="FFF9F9F9"/>
      </bottom>
      <diagonal/>
    </border>
    <border>
      <left style="medium">
        <color rgb="FFF5F5F5"/>
      </left>
      <right/>
      <top/>
      <bottom style="medium">
        <color rgb="FFF5F5F5"/>
      </bottom>
      <diagonal/>
    </border>
    <border>
      <left/>
      <right/>
      <top/>
      <bottom style="medium">
        <color rgb="FFF5F5F5"/>
      </bottom>
      <diagonal/>
    </border>
    <border>
      <left/>
      <right style="medium">
        <color rgb="FFF5F5F5"/>
      </right>
      <top/>
      <bottom style="medium">
        <color rgb="FFF5F5F5"/>
      </bottom>
      <diagonal/>
    </border>
    <border>
      <left/>
      <right style="medium">
        <color rgb="FFF9F9F9"/>
      </right>
      <top style="medium">
        <color rgb="FFF9F9F9"/>
      </top>
      <bottom/>
      <diagonal/>
    </border>
    <border>
      <left/>
      <right/>
      <top/>
      <bottom/>
      <diagonal/>
    </border>
    <border>
      <left/>
      <right/>
      <top/>
      <bottom style="thin">
        <color rgb="FFF9F9F9"/>
      </bottom>
      <diagonal/>
    </border>
    <border>
      <left/>
      <right/>
      <top/>
      <bottom style="thin">
        <color rgb="FFF9F9F9"/>
      </bottom>
      <diagonal/>
    </border>
    <border>
      <left/>
      <right/>
      <top/>
      <bottom style="thin">
        <color rgb="FFF9F9F9"/>
      </bottom>
      <diagonal/>
    </border>
    <border>
      <left style="medium">
        <color rgb="FFF5F5F5"/>
      </left>
      <right/>
      <top style="medium">
        <color rgb="FFF5F5F5"/>
      </top>
      <bottom style="medium">
        <color rgb="FFF5F5F5"/>
      </bottom>
      <diagonal/>
    </border>
    <border>
      <left style="medium">
        <color rgb="FFF5F5F5"/>
      </left>
      <right/>
      <top style="medium">
        <color rgb="FFF5F5F5"/>
      </top>
      <bottom/>
      <diagonal/>
    </border>
    <border>
      <left style="medium">
        <color rgb="FFF9F9F9"/>
      </left>
      <right/>
      <top style="medium">
        <color rgb="FFF9F9F9"/>
      </top>
      <bottom style="medium">
        <color rgb="FFF9F9F9"/>
      </bottom>
      <diagonal/>
    </border>
    <border>
      <left/>
      <right/>
      <top style="thin">
        <color rgb="FFF9F9F9"/>
      </top>
      <bottom/>
      <diagonal/>
    </border>
    <border>
      <left/>
      <right/>
      <top style="medium">
        <color rgb="FFF9F9F9"/>
      </top>
      <bottom style="medium">
        <color rgb="FFF9F9F9"/>
      </bottom>
      <diagonal/>
    </border>
    <border>
      <left/>
      <right/>
      <top style="medium">
        <color rgb="FFF9F9F9"/>
      </top>
      <bottom/>
      <diagonal/>
    </border>
    <border>
      <left/>
      <right/>
      <top/>
      <bottom style="medium">
        <color rgb="FFF9F9F9"/>
      </bottom>
      <diagonal/>
    </border>
    <border>
      <left/>
      <right/>
      <top/>
      <bottom style="medium">
        <color rgb="FFF9F9F9"/>
      </bottom>
      <diagonal/>
    </border>
    <border>
      <left/>
      <right/>
      <top/>
      <bottom style="medium">
        <color rgb="FFF9F9F9"/>
      </bottom>
      <diagonal/>
    </border>
    <border>
      <left style="medium">
        <color rgb="FFF5F5F5"/>
      </left>
      <right style="thin">
        <color rgb="FFD9D9D9"/>
      </right>
      <top/>
      <bottom style="medium">
        <color rgb="FFF5F5F5"/>
      </bottom>
      <diagonal/>
    </border>
    <border>
      <left style="thin">
        <color rgb="FFD9D9D9"/>
      </left>
      <right style="medium">
        <color rgb="FFF9F9F9"/>
      </right>
      <top/>
      <bottom style="medium">
        <color rgb="FFF9F9F9"/>
      </bottom>
      <diagonal/>
    </border>
    <border>
      <left style="medium">
        <color rgb="FFF9F9F9"/>
      </left>
      <right/>
      <top style="medium">
        <color rgb="FFF9F9F9"/>
      </top>
      <bottom/>
      <diagonal/>
    </border>
    <border>
      <left/>
      <right style="medium">
        <color rgb="FFF9F9F9"/>
      </right>
      <top style="medium">
        <color rgb="FFF9F9F9"/>
      </top>
      <bottom/>
      <diagonal/>
    </border>
    <border>
      <left/>
      <right style="medium">
        <color rgb="FFF9F9F9"/>
      </right>
      <top/>
      <bottom style="medium">
        <color rgb="FFF9F9F9"/>
      </bottom>
      <diagonal/>
    </border>
    <border>
      <left style="medium">
        <color rgb="FFF9F9F9"/>
      </left>
      <right/>
      <top style="medium">
        <color rgb="FFF9F9F9"/>
      </top>
      <bottom/>
      <diagonal/>
    </border>
    <border>
      <left style="medium">
        <color rgb="FFF5F5F5"/>
      </left>
      <right style="thin">
        <color rgb="FFD9D9D9"/>
      </right>
      <top style="thin">
        <color rgb="FFF5F5F5"/>
      </top>
      <bottom style="medium">
        <color rgb="FFF5F5F5"/>
      </bottom>
      <diagonal/>
    </border>
    <border>
      <left style="thin">
        <color rgb="FFD9D9D9"/>
      </left>
      <right style="medium">
        <color rgb="FFF9F9F9"/>
      </right>
      <top style="thin">
        <color rgb="FFF5F5F5"/>
      </top>
      <bottom style="medium">
        <color rgb="FFF9F9F9"/>
      </bottom>
      <diagonal/>
    </border>
    <border>
      <left style="medium">
        <color rgb="FFF9F9F9"/>
      </left>
      <right/>
      <top/>
      <bottom/>
      <diagonal/>
    </border>
    <border>
      <left style="medium">
        <color rgb="FFF9F9F9"/>
      </left>
      <right/>
      <top/>
      <bottom/>
      <diagonal/>
    </border>
    <border>
      <left style="medium">
        <color rgb="FFF9F9F9"/>
      </left>
      <right/>
      <top style="medium">
        <color rgb="FFF9F9F9"/>
      </top>
      <bottom style="medium">
        <color rgb="FFF9F9F9"/>
      </bottom>
      <diagonal/>
    </border>
    <border>
      <left/>
      <right/>
      <top style="medium">
        <color rgb="FFF9F9F9"/>
      </top>
      <bottom style="medium">
        <color rgb="FFF9F9F9"/>
      </bottom>
      <diagonal/>
    </border>
    <border>
      <left/>
      <right style="medium">
        <color rgb="FFF9F9F9"/>
      </right>
      <top style="medium">
        <color rgb="FFF9F9F9"/>
      </top>
      <bottom style="medium">
        <color rgb="FFF9F9F9"/>
      </bottom>
      <diagonal/>
    </border>
    <border>
      <left style="medium">
        <color rgb="FFF9F9F9"/>
      </left>
      <right/>
      <top/>
      <bottom style="medium">
        <color rgb="FFF9F9F9"/>
      </bottom>
      <diagonal/>
    </border>
    <border>
      <left style="medium">
        <color rgb="FFF9F9F9"/>
      </left>
      <right/>
      <top/>
      <bottom style="medium">
        <color rgb="FFF9F9F9"/>
      </bottom>
      <diagonal/>
    </border>
    <border>
      <left style="medium">
        <color rgb="FFF9F9F9"/>
      </left>
      <right style="medium">
        <color rgb="FFF9F9F9"/>
      </right>
      <top style="medium">
        <color rgb="FFF9F9F9"/>
      </top>
      <bottom style="medium">
        <color rgb="FFF9F9F9"/>
      </bottom>
      <diagonal/>
    </border>
    <border>
      <left style="thin">
        <color rgb="FFCFCFCF"/>
      </left>
      <right style="thin">
        <color rgb="FFCFCFCF"/>
      </right>
      <top style="thin">
        <color rgb="FFCFCFCF"/>
      </top>
      <bottom style="thin">
        <color rgb="FFCFCFCF"/>
      </bottom>
      <diagonal/>
    </border>
  </borders>
  <cellStyleXfs count="1">
    <xf numFmtId="0" fontId="0" fillId="0" borderId="0"/>
  </cellStyleXfs>
  <cellXfs count="231">
    <xf numFmtId="49" fontId="0" fillId="0" borderId="0" xfId="0" applyNumberFormat="1" applyFont="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xf numFmtId="0" fontId="1" fillId="2" borderId="5" xfId="0" applyFont="1" applyFill="1" applyBorder="1" applyAlignment="1">
      <alignment horizontal="center" vertical="center"/>
    </xf>
    <xf numFmtId="0" fontId="3" fillId="2" borderId="5" xfId="0" applyFont="1" applyFill="1" applyBorder="1" applyAlignment="1">
      <alignment horizontal="left" vertical="center"/>
    </xf>
    <xf numFmtId="0" fontId="3" fillId="2" borderId="6" xfId="0" applyFont="1" applyFill="1" applyBorder="1" applyAlignment="1"/>
    <xf numFmtId="0" fontId="3" fillId="2" borderId="7" xfId="0" applyFont="1" applyFill="1" applyBorder="1" applyAlignment="1"/>
    <xf numFmtId="0" fontId="3" fillId="2" borderId="8" xfId="0" applyFont="1" applyFill="1" applyBorder="1" applyAlignment="1"/>
    <xf numFmtId="0" fontId="3" fillId="2" borderId="9" xfId="0" applyFont="1" applyFill="1" applyBorder="1" applyAlignment="1"/>
    <xf numFmtId="0" fontId="1" fillId="2" borderId="6" xfId="0" applyFont="1" applyFill="1" applyBorder="1" applyAlignment="1">
      <alignment horizontal="center" vertical="center"/>
    </xf>
    <xf numFmtId="0" fontId="1" fillId="2" borderId="10" xfId="0" applyFont="1" applyFill="1" applyBorder="1" applyAlignment="1">
      <alignment horizontal="center" vertical="center"/>
    </xf>
    <xf numFmtId="0" fontId="4" fillId="2" borderId="4" xfId="0" applyFont="1" applyFill="1" applyBorder="1" applyAlignment="1">
      <alignment horizontal="left"/>
    </xf>
    <xf numFmtId="0" fontId="4" fillId="2" borderId="11" xfId="0" applyFont="1" applyFill="1" applyBorder="1" applyAlignment="1"/>
    <xf numFmtId="0" fontId="4" fillId="2" borderId="9" xfId="0" applyFont="1" applyFill="1" applyBorder="1" applyAlignment="1"/>
    <xf numFmtId="0" fontId="1" fillId="2" borderId="8" xfId="0" applyFont="1" applyFill="1" applyBorder="1" applyAlignment="1">
      <alignment horizontal="center" vertical="center"/>
    </xf>
    <xf numFmtId="0" fontId="6" fillId="5" borderId="26" xfId="0" applyFont="1" applyFill="1" applyBorder="1" applyAlignment="1"/>
    <xf numFmtId="0" fontId="7" fillId="5" borderId="26" xfId="0" applyFont="1" applyFill="1" applyBorder="1" applyAlignment="1"/>
    <xf numFmtId="0" fontId="7" fillId="6" borderId="29" xfId="0" applyFont="1" applyFill="1" applyBorder="1" applyAlignment="1"/>
    <xf numFmtId="0" fontId="8" fillId="6" borderId="30" xfId="0" applyFont="1" applyFill="1" applyBorder="1" applyAlignment="1"/>
    <xf numFmtId="0" fontId="9" fillId="6" borderId="30" xfId="0" applyFont="1" applyFill="1" applyBorder="1" applyAlignment="1"/>
    <xf numFmtId="0" fontId="6" fillId="6" borderId="30" xfId="0" applyFont="1" applyFill="1" applyBorder="1" applyAlignment="1"/>
    <xf numFmtId="0" fontId="6" fillId="6" borderId="31" xfId="0" applyFont="1" applyFill="1" applyBorder="1" applyAlignment="1"/>
    <xf numFmtId="0" fontId="6" fillId="6" borderId="35" xfId="0" applyFont="1" applyFill="1" applyBorder="1" applyAlignment="1"/>
    <xf numFmtId="0" fontId="6" fillId="6" borderId="36" xfId="0" applyFont="1" applyFill="1" applyBorder="1" applyAlignment="1"/>
    <xf numFmtId="0" fontId="6" fillId="6" borderId="37" xfId="0" applyFont="1" applyFill="1" applyBorder="1" applyAlignment="1"/>
    <xf numFmtId="0" fontId="6" fillId="5" borderId="26" xfId="0" applyFont="1" applyFill="1" applyBorder="1" applyAlignment="1">
      <alignment vertical="center"/>
    </xf>
    <xf numFmtId="0" fontId="6" fillId="6" borderId="44" xfId="0" applyFont="1" applyFill="1" applyBorder="1" applyAlignment="1"/>
    <xf numFmtId="0" fontId="10" fillId="6" borderId="37" xfId="0" applyFont="1" applyFill="1" applyBorder="1" applyAlignment="1">
      <alignment vertical="top" wrapText="1"/>
    </xf>
    <xf numFmtId="0" fontId="12" fillId="6" borderId="36" xfId="0" applyFont="1" applyFill="1" applyBorder="1" applyAlignment="1"/>
    <xf numFmtId="0" fontId="12" fillId="6" borderId="51" xfId="0" applyFont="1" applyFill="1" applyBorder="1" applyAlignment="1"/>
    <xf numFmtId="0" fontId="6" fillId="5" borderId="55" xfId="0" applyFont="1" applyFill="1" applyBorder="1" applyAlignment="1">
      <alignment horizontal="center" vertical="center"/>
    </xf>
    <xf numFmtId="0" fontId="6" fillId="6" borderId="56" xfId="0" applyFont="1" applyFill="1" applyBorder="1" applyAlignment="1"/>
    <xf numFmtId="0" fontId="13" fillId="6" borderId="51" xfId="0" applyFont="1" applyFill="1" applyBorder="1" applyAlignment="1"/>
    <xf numFmtId="0" fontId="6" fillId="5" borderId="71" xfId="0" applyFont="1" applyFill="1" applyBorder="1" applyAlignment="1">
      <alignment horizontal="center" vertical="center"/>
    </xf>
    <xf numFmtId="0" fontId="10" fillId="6" borderId="77" xfId="0" applyFont="1" applyFill="1" applyBorder="1" applyAlignment="1"/>
    <xf numFmtId="0" fontId="16" fillId="6" borderId="78" xfId="0" applyFont="1" applyFill="1" applyBorder="1" applyAlignment="1"/>
    <xf numFmtId="0" fontId="6" fillId="6" borderId="79" xfId="0" applyFont="1" applyFill="1" applyBorder="1" applyAlignment="1"/>
    <xf numFmtId="0" fontId="6" fillId="6" borderId="79" xfId="0" applyFont="1" applyFill="1" applyBorder="1" applyAlignment="1">
      <alignment vertical="top"/>
    </xf>
    <xf numFmtId="0" fontId="6" fillId="6" borderId="80" xfId="0" applyFont="1" applyFill="1" applyBorder="1" applyAlignment="1">
      <alignment vertical="top"/>
    </xf>
    <xf numFmtId="0" fontId="6" fillId="6" borderId="81" xfId="0" applyFont="1" applyFill="1" applyBorder="1" applyAlignment="1"/>
    <xf numFmtId="0" fontId="6" fillId="6" borderId="80" xfId="0" applyFont="1" applyFill="1" applyBorder="1" applyAlignment="1"/>
    <xf numFmtId="0" fontId="6" fillId="6" borderId="4" xfId="0" applyFont="1" applyFill="1" applyBorder="1" applyAlignment="1"/>
    <xf numFmtId="0" fontId="6" fillId="6" borderId="51" xfId="0" applyFont="1" applyFill="1" applyBorder="1" applyAlignment="1"/>
    <xf numFmtId="0" fontId="18" fillId="6" borderId="99" xfId="0" applyFont="1" applyFill="1" applyBorder="1" applyAlignment="1"/>
    <xf numFmtId="0" fontId="14" fillId="6" borderId="35" xfId="0" applyFont="1" applyFill="1" applyBorder="1" applyAlignment="1">
      <alignment vertical="top"/>
    </xf>
    <xf numFmtId="0" fontId="6" fillId="6" borderId="37" xfId="0" applyFont="1" applyFill="1" applyBorder="1" applyAlignment="1">
      <alignment vertical="center"/>
    </xf>
    <xf numFmtId="0" fontId="6" fillId="6" borderId="79" xfId="0" applyFont="1" applyFill="1" applyBorder="1" applyAlignment="1">
      <alignment vertical="center"/>
    </xf>
    <xf numFmtId="0" fontId="6" fillId="5" borderId="104" xfId="0" applyFont="1" applyFill="1" applyBorder="1" applyAlignment="1"/>
    <xf numFmtId="0" fontId="10" fillId="6" borderId="35" xfId="0" applyFont="1" applyFill="1" applyBorder="1" applyAlignment="1">
      <alignment vertical="top" wrapText="1"/>
    </xf>
    <xf numFmtId="0" fontId="6" fillId="5" borderId="105" xfId="0" applyFont="1" applyFill="1" applyBorder="1" applyAlignment="1"/>
    <xf numFmtId="0" fontId="20" fillId="6" borderId="99" xfId="0" applyFont="1" applyFill="1" applyBorder="1" applyAlignment="1"/>
    <xf numFmtId="0" fontId="6" fillId="6" borderId="106" xfId="0" applyFont="1" applyFill="1" applyBorder="1" applyAlignment="1"/>
    <xf numFmtId="49" fontId="6" fillId="5" borderId="26" xfId="0" applyNumberFormat="1" applyFont="1" applyFill="1" applyBorder="1" applyAlignment="1">
      <alignment vertical="center"/>
    </xf>
    <xf numFmtId="0" fontId="6" fillId="6" borderId="108" xfId="0" applyFont="1" applyFill="1" applyBorder="1" applyAlignment="1"/>
    <xf numFmtId="0" fontId="6" fillId="5" borderId="119" xfId="0" applyFont="1" applyFill="1" applyBorder="1" applyAlignment="1"/>
    <xf numFmtId="0" fontId="6" fillId="6" borderId="120" xfId="0" applyFont="1" applyFill="1" applyBorder="1" applyAlignment="1"/>
    <xf numFmtId="0" fontId="6" fillId="6" borderId="128" xfId="0" applyFont="1" applyFill="1" applyBorder="1" applyAlignment="1"/>
    <xf numFmtId="0" fontId="23" fillId="5" borderId="26" xfId="0" applyFont="1" applyFill="1" applyBorder="1" applyAlignment="1"/>
    <xf numFmtId="0" fontId="23" fillId="6" borderId="128" xfId="0" applyFont="1" applyFill="1" applyBorder="1" applyAlignment="1"/>
    <xf numFmtId="0" fontId="23" fillId="6" borderId="106" xfId="0" applyFont="1" applyFill="1" applyBorder="1" applyAlignment="1"/>
    <xf numFmtId="0" fontId="23" fillId="8" borderId="4" xfId="0" applyFont="1" applyFill="1" applyBorder="1" applyAlignment="1"/>
    <xf numFmtId="0" fontId="27" fillId="0" borderId="0" xfId="0" applyFont="1" applyAlignment="1" applyProtection="1">
      <alignment wrapText="1"/>
      <protection locked="0"/>
    </xf>
    <xf numFmtId="0" fontId="29" fillId="10" borderId="129" xfId="0" applyFont="1" applyFill="1" applyBorder="1" applyAlignment="1" applyProtection="1">
      <alignment horizontal="center" vertical="center" wrapText="1"/>
      <protection locked="0"/>
    </xf>
    <xf numFmtId="0" fontId="30" fillId="11" borderId="129" xfId="0" applyFont="1" applyFill="1" applyBorder="1" applyAlignment="1" applyProtection="1">
      <alignment horizontal="center" vertical="center" wrapText="1"/>
      <protection locked="0"/>
    </xf>
    <xf numFmtId="0" fontId="31" fillId="11" borderId="129" xfId="0" applyFont="1" applyFill="1" applyBorder="1" applyAlignment="1">
      <alignment horizontal="center" vertical="center" wrapText="1"/>
    </xf>
    <xf numFmtId="0" fontId="33" fillId="10" borderId="129" xfId="0" applyFont="1" applyFill="1" applyBorder="1" applyAlignment="1" applyProtection="1">
      <alignment horizontal="center" vertical="center" wrapText="1"/>
      <protection locked="0"/>
    </xf>
    <xf numFmtId="0" fontId="35" fillId="10" borderId="129" xfId="0" applyFont="1" applyFill="1" applyBorder="1" applyAlignment="1" applyProtection="1">
      <alignment horizontal="center" vertical="center" wrapText="1"/>
      <protection locked="0"/>
    </xf>
    <xf numFmtId="0" fontId="36" fillId="11" borderId="0" xfId="0" applyFont="1" applyFill="1" applyBorder="1" applyAlignment="1" applyProtection="1">
      <alignment horizontal="center" vertical="center" wrapText="1"/>
      <protection locked="0"/>
    </xf>
    <xf numFmtId="0" fontId="37" fillId="11" borderId="129" xfId="0" applyFont="1" applyFill="1" applyBorder="1" applyAlignment="1" applyProtection="1">
      <alignment horizontal="center" vertical="center" wrapText="1"/>
      <protection locked="0"/>
    </xf>
    <xf numFmtId="0" fontId="40" fillId="13" borderId="129" xfId="0" applyFont="1" applyFill="1" applyBorder="1" applyAlignment="1" applyProtection="1">
      <alignment horizontal="center" vertical="center" wrapText="1"/>
      <protection locked="0"/>
    </xf>
    <xf numFmtId="0" fontId="41" fillId="0" borderId="0" xfId="0" applyFont="1" applyBorder="1" applyAlignment="1" applyProtection="1">
      <alignment wrapText="1"/>
      <protection locked="0"/>
    </xf>
    <xf numFmtId="0" fontId="42" fillId="13" borderId="129" xfId="0" applyFont="1" applyFill="1" applyBorder="1" applyAlignment="1" applyProtection="1">
      <alignment horizontal="center" vertical="center" wrapText="1"/>
      <protection locked="0"/>
    </xf>
    <xf numFmtId="0" fontId="43" fillId="13" borderId="129" xfId="0" applyFont="1" applyFill="1" applyBorder="1" applyAlignment="1" applyProtection="1">
      <alignment horizontal="center" vertical="center" wrapText="1"/>
      <protection locked="0"/>
    </xf>
    <xf numFmtId="3" fontId="0" fillId="0" borderId="0" xfId="0" applyNumberFormat="1"/>
    <xf numFmtId="0" fontId="44" fillId="13" borderId="129" xfId="0" applyFont="1" applyFill="1" applyBorder="1" applyAlignment="1" applyProtection="1">
      <alignment horizontal="center" vertical="center" wrapText="1"/>
      <protection locked="0"/>
    </xf>
    <xf numFmtId="4" fontId="0" fillId="0" borderId="0" xfId="0" applyNumberFormat="1"/>
    <xf numFmtId="0" fontId="46" fillId="15" borderId="129" xfId="0" applyFont="1" applyFill="1" applyBorder="1" applyAlignment="1" applyProtection="1">
      <alignment horizontal="center" vertical="center" wrapText="1"/>
      <protection locked="0"/>
    </xf>
    <xf numFmtId="0" fontId="47" fillId="0" borderId="129" xfId="0" applyFont="1" applyBorder="1" applyAlignment="1" applyProtection="1">
      <alignment wrapText="1"/>
      <protection locked="0"/>
    </xf>
    <xf numFmtId="0" fontId="48" fillId="15" borderId="129" xfId="0" applyFont="1" applyFill="1" applyBorder="1" applyAlignment="1" applyProtection="1">
      <alignment horizontal="center" vertical="center" wrapText="1"/>
      <protection locked="0"/>
    </xf>
    <xf numFmtId="0" fontId="49" fillId="11" borderId="0" xfId="0" applyFont="1" applyFill="1" applyBorder="1" applyAlignment="1" applyProtection="1">
      <alignment horizontal="center" vertical="center" wrapText="1"/>
      <protection locked="0"/>
    </xf>
    <xf numFmtId="0" fontId="51" fillId="17" borderId="129" xfId="0" applyFont="1" applyFill="1" applyBorder="1" applyAlignment="1" applyProtection="1">
      <alignment horizontal="center" vertical="center" wrapText="1"/>
      <protection locked="0"/>
    </xf>
    <xf numFmtId="0" fontId="52" fillId="17" borderId="129" xfId="0" applyFont="1" applyFill="1" applyBorder="1" applyAlignment="1" applyProtection="1">
      <alignment horizontal="center" vertical="center" wrapText="1"/>
      <protection locked="0"/>
    </xf>
    <xf numFmtId="0" fontId="53" fillId="17" borderId="129" xfId="0" applyFont="1" applyFill="1" applyBorder="1" applyAlignment="1" applyProtection="1">
      <alignment horizontal="center" vertical="center" wrapText="1"/>
      <protection locked="0"/>
    </xf>
    <xf numFmtId="0" fontId="54" fillId="17" borderId="129" xfId="0" applyFont="1" applyFill="1" applyBorder="1" applyAlignment="1" applyProtection="1">
      <alignment horizontal="center" vertical="center" wrapText="1"/>
      <protection locked="0"/>
    </xf>
    <xf numFmtId="0" fontId="55" fillId="17" borderId="129" xfId="0" applyFont="1" applyFill="1" applyBorder="1" applyAlignment="1" applyProtection="1">
      <alignment horizontal="center" vertical="center" wrapText="1"/>
      <protection locked="0"/>
    </xf>
    <xf numFmtId="0" fontId="56" fillId="17" borderId="129" xfId="0" applyFont="1" applyFill="1" applyBorder="1" applyAlignment="1" applyProtection="1">
      <alignment horizontal="center" vertical="center" wrapText="1"/>
      <protection locked="0"/>
    </xf>
    <xf numFmtId="0" fontId="57" fillId="17" borderId="129" xfId="0" applyFont="1" applyFill="1" applyBorder="1" applyAlignment="1" applyProtection="1">
      <alignment horizontal="center" vertical="center" wrapText="1"/>
      <protection locked="0"/>
    </xf>
    <xf numFmtId="0" fontId="0" fillId="0" borderId="0" xfId="0" applyNumberFormat="1"/>
    <xf numFmtId="0" fontId="58" fillId="17" borderId="129" xfId="0" applyFont="1" applyFill="1" applyBorder="1" applyAlignment="1" applyProtection="1">
      <alignment horizontal="center" vertical="center" wrapText="1"/>
      <protection locked="0"/>
    </xf>
    <xf numFmtId="0" fontId="59" fillId="17" borderId="129" xfId="0" applyFont="1" applyFill="1" applyBorder="1" applyAlignment="1" applyProtection="1">
      <alignment horizontal="center" vertical="center" wrapText="1"/>
      <protection locked="0"/>
    </xf>
    <xf numFmtId="0" fontId="61" fillId="19" borderId="129" xfId="0" applyFont="1" applyFill="1" applyBorder="1" applyAlignment="1" applyProtection="1">
      <alignment horizontal="center" vertical="center" wrapText="1"/>
      <protection locked="0"/>
    </xf>
    <xf numFmtId="0" fontId="62" fillId="19" borderId="129" xfId="0" applyFont="1" applyFill="1" applyBorder="1" applyAlignment="1" applyProtection="1">
      <alignment horizontal="center" vertical="center" wrapText="1"/>
      <protection locked="0"/>
    </xf>
    <xf numFmtId="0" fontId="63" fillId="19" borderId="129" xfId="0" applyFont="1" applyFill="1" applyBorder="1" applyAlignment="1" applyProtection="1">
      <alignment horizontal="center" vertical="center" wrapText="1"/>
      <protection locked="0"/>
    </xf>
    <xf numFmtId="0" fontId="64" fillId="19" borderId="129" xfId="0" applyFont="1" applyFill="1" applyBorder="1" applyAlignment="1" applyProtection="1">
      <alignment horizontal="center" vertical="center" wrapText="1"/>
      <protection locked="0"/>
    </xf>
    <xf numFmtId="0" fontId="65" fillId="19" borderId="129" xfId="0" applyFont="1" applyFill="1" applyBorder="1" applyAlignment="1" applyProtection="1">
      <alignment horizontal="center" vertical="center" wrapText="1"/>
      <protection locked="0"/>
    </xf>
    <xf numFmtId="0" fontId="66" fillId="19" borderId="129" xfId="0" applyFont="1" applyFill="1" applyBorder="1" applyAlignment="1" applyProtection="1">
      <alignment horizontal="center" vertical="center" wrapText="1"/>
      <protection locked="0"/>
    </xf>
    <xf numFmtId="0" fontId="67" fillId="19" borderId="129" xfId="0" applyFont="1" applyFill="1" applyBorder="1" applyAlignment="1" applyProtection="1">
      <alignment horizontal="center" vertical="center" wrapText="1"/>
      <protection locked="0"/>
    </xf>
    <xf numFmtId="0" fontId="69" fillId="11" borderId="129" xfId="0" applyFont="1" applyFill="1" applyBorder="1" applyAlignment="1">
      <alignment horizontal="left"/>
    </xf>
    <xf numFmtId="0" fontId="70" fillId="21" borderId="129" xfId="0" applyFont="1" applyFill="1" applyBorder="1" applyAlignment="1" applyProtection="1">
      <alignment horizontal="center" vertical="center"/>
      <protection locked="0"/>
    </xf>
    <xf numFmtId="0" fontId="72" fillId="11" borderId="129" xfId="0" applyFont="1" applyFill="1" applyBorder="1" applyAlignment="1">
      <alignment horizontal="left"/>
    </xf>
    <xf numFmtId="0" fontId="73" fillId="23" borderId="129" xfId="0" applyFont="1" applyFill="1" applyBorder="1" applyAlignment="1" applyProtection="1">
      <alignment horizontal="center" vertical="center"/>
      <protection locked="0"/>
    </xf>
    <xf numFmtId="0" fontId="74" fillId="23" borderId="129" xfId="0" applyFont="1" applyFill="1" applyBorder="1" applyAlignment="1" applyProtection="1">
      <alignment horizontal="center" vertical="center"/>
      <protection locked="0"/>
    </xf>
    <xf numFmtId="49" fontId="6" fillId="5" borderId="32" xfId="0" applyNumberFormat="1" applyFont="1" applyFill="1" applyBorder="1" applyAlignment="1">
      <alignment vertical="center"/>
    </xf>
    <xf numFmtId="0" fontId="5" fillId="0" borderId="33" xfId="0" applyFont="1" applyBorder="1"/>
    <xf numFmtId="0" fontId="5" fillId="0" borderId="34" xfId="0" applyFont="1" applyBorder="1"/>
    <xf numFmtId="49" fontId="23" fillId="5" borderId="32" xfId="0" applyNumberFormat="1" applyFont="1" applyFill="1" applyBorder="1" applyAlignment="1"/>
    <xf numFmtId="0" fontId="23" fillId="5" borderId="21" xfId="0" applyFont="1" applyFill="1" applyBorder="1" applyAlignment="1"/>
    <xf numFmtId="0" fontId="5" fillId="0" borderId="27" xfId="0" applyFont="1" applyBorder="1"/>
    <xf numFmtId="0" fontId="5" fillId="0" borderId="113" xfId="0" applyFont="1" applyBorder="1"/>
    <xf numFmtId="0" fontId="23" fillId="6" borderId="22" xfId="0" applyFont="1" applyFill="1" applyBorder="1" applyAlignment="1"/>
    <xf numFmtId="0" fontId="5" fillId="0" borderId="28" xfId="0" applyFont="1" applyBorder="1"/>
    <xf numFmtId="0" fontId="5" fillId="0" borderId="114" xfId="0" applyFont="1" applyBorder="1"/>
    <xf numFmtId="0" fontId="76" fillId="11" borderId="0" xfId="0" applyFont="1" applyFill="1" applyAlignment="1" applyProtection="1">
      <alignment horizontal="left" vertical="center"/>
      <protection locked="0"/>
    </xf>
    <xf numFmtId="0" fontId="5" fillId="0" borderId="39" xfId="0" applyFont="1" applyBorder="1"/>
    <xf numFmtId="0" fontId="5" fillId="0" borderId="40" xfId="0" applyFont="1" applyBorder="1"/>
    <xf numFmtId="0" fontId="10" fillId="6" borderId="41" xfId="0" applyFont="1" applyFill="1" applyBorder="1" applyAlignment="1">
      <alignment vertical="center"/>
    </xf>
    <xf numFmtId="0" fontId="5" fillId="0" borderId="42" xfId="0" applyFont="1" applyBorder="1"/>
    <xf numFmtId="0" fontId="5" fillId="0" borderId="43" xfId="0" applyFont="1" applyBorder="1"/>
    <xf numFmtId="0" fontId="6" fillId="5" borderId="38" xfId="0" applyFont="1" applyFill="1" applyBorder="1" applyAlignment="1">
      <alignment vertical="center"/>
    </xf>
    <xf numFmtId="0" fontId="11" fillId="6" borderId="45" xfId="0" applyFont="1" applyFill="1" applyBorder="1" applyAlignment="1">
      <alignment vertical="top" wrapText="1"/>
    </xf>
    <xf numFmtId="0" fontId="5" fillId="0" borderId="46" xfId="0" applyFont="1" applyBorder="1"/>
    <xf numFmtId="0" fontId="5" fillId="0" borderId="47" xfId="0" applyFont="1" applyBorder="1"/>
    <xf numFmtId="0" fontId="6" fillId="5" borderId="32" xfId="0" applyFont="1" applyFill="1" applyBorder="1" applyAlignment="1">
      <alignment vertical="center"/>
    </xf>
    <xf numFmtId="0" fontId="10" fillId="6" borderId="48" xfId="0" applyFont="1" applyFill="1" applyBorder="1" applyAlignment="1">
      <alignment horizontal="left" vertical="center" wrapText="1"/>
    </xf>
    <xf numFmtId="0" fontId="5" fillId="0" borderId="49" xfId="0" applyFont="1" applyBorder="1"/>
    <xf numFmtId="0" fontId="5" fillId="0" borderId="50" xfId="0" applyFont="1" applyBorder="1"/>
    <xf numFmtId="0" fontId="14" fillId="6" borderId="58" xfId="0" applyFont="1" applyFill="1" applyBorder="1" applyAlignment="1">
      <alignment vertical="top" wrapText="1"/>
    </xf>
    <xf numFmtId="0" fontId="5" fillId="0" borderId="59" xfId="0" applyFont="1" applyBorder="1"/>
    <xf numFmtId="0" fontId="5" fillId="0" borderId="60" xfId="0" applyFont="1" applyBorder="1"/>
    <xf numFmtId="0" fontId="5" fillId="0" borderId="61" xfId="0" applyFont="1" applyBorder="1"/>
    <xf numFmtId="49" fontId="0" fillId="0" borderId="0" xfId="0" applyNumberFormat="1" applyFont="1" applyAlignment="1"/>
    <xf numFmtId="0" fontId="5" fillId="0" borderId="62" xfId="0" applyFont="1" applyBorder="1"/>
    <xf numFmtId="0" fontId="5" fillId="0" borderId="63" xfId="0" applyFont="1" applyBorder="1"/>
    <xf numFmtId="0" fontId="5" fillId="0" borderId="64" xfId="0" applyFont="1" applyBorder="1"/>
    <xf numFmtId="0" fontId="5" fillId="0" borderId="65" xfId="0" applyFont="1" applyBorder="1"/>
    <xf numFmtId="0" fontId="12" fillId="7" borderId="66" xfId="0" applyFont="1" applyFill="1" applyBorder="1" applyAlignment="1"/>
    <xf numFmtId="0" fontId="5" fillId="0" borderId="67" xfId="0" applyFont="1" applyBorder="1"/>
    <xf numFmtId="0" fontId="15" fillId="6" borderId="58" xfId="0" applyFont="1" applyFill="1" applyBorder="1" applyAlignment="1">
      <alignment vertical="top" wrapText="1"/>
    </xf>
    <xf numFmtId="0" fontId="6" fillId="5" borderId="68" xfId="0" applyFont="1" applyFill="1" applyBorder="1" applyAlignment="1">
      <alignment horizontal="center" vertical="center"/>
    </xf>
    <xf numFmtId="0" fontId="5" fillId="0" borderId="69" xfId="0" applyFont="1" applyBorder="1"/>
    <xf numFmtId="0" fontId="5" fillId="0" borderId="70" xfId="0" applyFont="1" applyBorder="1"/>
    <xf numFmtId="0" fontId="12" fillId="6" borderId="72" xfId="0" applyFont="1" applyFill="1" applyBorder="1" applyAlignment="1"/>
    <xf numFmtId="0" fontId="5" fillId="0" borderId="73" xfId="0" applyFont="1" applyBorder="1"/>
    <xf numFmtId="0" fontId="5" fillId="0" borderId="74" xfId="0" applyFont="1" applyBorder="1"/>
    <xf numFmtId="0" fontId="6" fillId="5" borderId="75" xfId="0" applyFont="1" applyFill="1" applyBorder="1" applyAlignment="1">
      <alignment horizontal="center" vertical="center"/>
    </xf>
    <xf numFmtId="0" fontId="5" fillId="0" borderId="16" xfId="0" applyFont="1" applyBorder="1"/>
    <xf numFmtId="0" fontId="5" fillId="0" borderId="76" xfId="0" applyFont="1" applyBorder="1"/>
    <xf numFmtId="0" fontId="7" fillId="6" borderId="52" xfId="0" applyFont="1" applyFill="1" applyBorder="1" applyAlignment="1"/>
    <xf numFmtId="0" fontId="5" fillId="0" borderId="53" xfId="0" applyFont="1" applyBorder="1"/>
    <xf numFmtId="0" fontId="5" fillId="0" borderId="54" xfId="0" applyFont="1" applyBorder="1"/>
    <xf numFmtId="0" fontId="12" fillId="4" borderId="15" xfId="0" applyFont="1" applyFill="1" applyBorder="1" applyAlignment="1"/>
    <xf numFmtId="0" fontId="5" fillId="0" borderId="57" xfId="0" applyFont="1" applyBorder="1"/>
    <xf numFmtId="0" fontId="12" fillId="6" borderId="15" xfId="0" applyFont="1" applyFill="1" applyBorder="1" applyAlignment="1"/>
    <xf numFmtId="0" fontId="10" fillId="6" borderId="84" xfId="0" applyFont="1" applyFill="1" applyBorder="1" applyAlignment="1">
      <alignment vertical="top" wrapText="1"/>
    </xf>
    <xf numFmtId="0" fontId="5" fillId="0" borderId="85" xfId="0" applyFont="1" applyBorder="1"/>
    <xf numFmtId="0" fontId="5" fillId="0" borderId="89" xfId="0" applyFont="1" applyBorder="1"/>
    <xf numFmtId="0" fontId="5" fillId="0" borderId="90" xfId="0" applyFont="1" applyBorder="1"/>
    <xf numFmtId="0" fontId="17" fillId="6" borderId="91" xfId="0" applyFont="1" applyFill="1" applyBorder="1" applyAlignment="1">
      <alignment vertical="top" wrapText="1"/>
    </xf>
    <xf numFmtId="0" fontId="5" fillId="0" borderId="92" xfId="0" applyFont="1" applyBorder="1"/>
    <xf numFmtId="0" fontId="5" fillId="0" borderId="93" xfId="0" applyFont="1" applyBorder="1"/>
    <xf numFmtId="0" fontId="6" fillId="6" borderId="94" xfId="0" applyFont="1" applyFill="1" applyBorder="1" applyAlignment="1"/>
    <xf numFmtId="0" fontId="6" fillId="6" borderId="95" xfId="0" applyFont="1" applyFill="1" applyBorder="1" applyAlignment="1"/>
    <xf numFmtId="0" fontId="6" fillId="5" borderId="96" xfId="0" applyFont="1" applyFill="1" applyBorder="1" applyAlignment="1">
      <alignment horizontal="center" vertical="center"/>
    </xf>
    <xf numFmtId="0" fontId="5" fillId="0" borderId="97" xfId="0" applyFont="1" applyBorder="1"/>
    <xf numFmtId="0" fontId="5" fillId="0" borderId="98" xfId="0" applyFont="1" applyBorder="1"/>
    <xf numFmtId="0" fontId="10" fillId="6" borderId="58" xfId="0" applyFont="1" applyFill="1" applyBorder="1" applyAlignment="1">
      <alignment vertical="top" wrapText="1"/>
    </xf>
    <xf numFmtId="0" fontId="5" fillId="0" borderId="82" xfId="0" applyFont="1" applyBorder="1"/>
    <xf numFmtId="0" fontId="5" fillId="0" borderId="83" xfId="0" applyFont="1" applyBorder="1"/>
    <xf numFmtId="0" fontId="5" fillId="0" borderId="86" xfId="0" applyFont="1" applyBorder="1"/>
    <xf numFmtId="0" fontId="5" fillId="0" borderId="87" xfId="0" applyFont="1" applyBorder="1"/>
    <xf numFmtId="0" fontId="5" fillId="0" borderId="88" xfId="0" applyFont="1" applyBorder="1"/>
    <xf numFmtId="0" fontId="5" fillId="0" borderId="100" xfId="0" applyFont="1" applyBorder="1"/>
    <xf numFmtId="0" fontId="5" fillId="0" borderId="101" xfId="0" applyFont="1" applyBorder="1"/>
    <xf numFmtId="0" fontId="5" fillId="0" borderId="102" xfId="0" applyFont="1" applyBorder="1"/>
    <xf numFmtId="0" fontId="5" fillId="0" borderId="103" xfId="0" applyFont="1" applyBorder="1"/>
    <xf numFmtId="0" fontId="19" fillId="6" borderId="45" xfId="0" applyFont="1" applyFill="1" applyBorder="1" applyAlignment="1">
      <alignment vertical="top" wrapText="1"/>
    </xf>
    <xf numFmtId="0" fontId="1" fillId="2" borderId="12" xfId="0" applyFont="1" applyFill="1" applyBorder="1" applyAlignment="1">
      <alignment horizontal="center" vertical="center"/>
    </xf>
    <xf numFmtId="0" fontId="5" fillId="0" borderId="13" xfId="0" applyFont="1" applyBorder="1"/>
    <xf numFmtId="0" fontId="5" fillId="0" borderId="14" xfId="0" applyFont="1" applyBorder="1"/>
    <xf numFmtId="0" fontId="6" fillId="4" borderId="15" xfId="0" applyFont="1" applyFill="1" applyBorder="1" applyAlignment="1"/>
    <xf numFmtId="0" fontId="5" fillId="0" borderId="17" xfId="0" applyFont="1" applyBorder="1"/>
    <xf numFmtId="0" fontId="6" fillId="5" borderId="18" xfId="0" applyFont="1" applyFill="1" applyBorder="1" applyAlignment="1"/>
    <xf numFmtId="0" fontId="5" fillId="0" borderId="19" xfId="0" applyFont="1" applyBorder="1"/>
    <xf numFmtId="0" fontId="5" fillId="0" borderId="20" xfId="0" applyFont="1" applyBorder="1"/>
    <xf numFmtId="0" fontId="6" fillId="5" borderId="21" xfId="0" applyFont="1" applyFill="1" applyBorder="1" applyAlignment="1"/>
    <xf numFmtId="0" fontId="6" fillId="6" borderId="22" xfId="0" applyFont="1" applyFill="1" applyBorder="1" applyAlignment="1"/>
    <xf numFmtId="0" fontId="6" fillId="6" borderId="23" xfId="0" applyFont="1" applyFill="1" applyBorder="1" applyAlignment="1"/>
    <xf numFmtId="0" fontId="5" fillId="0" borderId="24" xfId="0" applyFont="1" applyBorder="1"/>
    <xf numFmtId="0" fontId="5" fillId="0" borderId="25" xfId="0" applyFont="1" applyBorder="1"/>
    <xf numFmtId="49" fontId="6" fillId="5" borderId="32" xfId="0" applyNumberFormat="1" applyFont="1" applyFill="1" applyBorder="1" applyAlignment="1">
      <alignment horizontal="right"/>
    </xf>
    <xf numFmtId="0" fontId="5" fillId="0" borderId="107" xfId="0" applyFont="1" applyBorder="1"/>
    <xf numFmtId="0" fontId="20" fillId="6" borderId="109" xfId="0" applyFont="1" applyFill="1" applyBorder="1" applyAlignment="1">
      <alignment wrapText="1"/>
    </xf>
    <xf numFmtId="0" fontId="21" fillId="6" borderId="110" xfId="0" applyFont="1" applyFill="1" applyBorder="1" applyAlignment="1"/>
    <xf numFmtId="0" fontId="5" fillId="0" borderId="111" xfId="0" applyFont="1" applyBorder="1"/>
    <xf numFmtId="0" fontId="5" fillId="0" borderId="112" xfId="0" applyFont="1" applyBorder="1"/>
    <xf numFmtId="0" fontId="14" fillId="6" borderId="110" xfId="0" applyFont="1" applyFill="1" applyBorder="1" applyAlignment="1">
      <alignment vertical="top" wrapText="1"/>
    </xf>
    <xf numFmtId="0" fontId="5" fillId="0" borderId="117" xfId="0" applyFont="1" applyBorder="1"/>
    <xf numFmtId="0" fontId="22" fillId="6" borderId="123" xfId="0" applyFont="1" applyFill="1" applyBorder="1" applyAlignment="1">
      <alignment vertical="top" wrapText="1"/>
    </xf>
    <xf numFmtId="0" fontId="5" fillId="0" borderId="124" xfId="0" applyFont="1" applyBorder="1"/>
    <xf numFmtId="0" fontId="5" fillId="0" borderId="125" xfId="0" applyFont="1" applyBorder="1"/>
    <xf numFmtId="0" fontId="6" fillId="6" borderId="123" xfId="0" applyFont="1" applyFill="1" applyBorder="1" applyAlignment="1"/>
    <xf numFmtId="0" fontId="14" fillId="6" borderId="123" xfId="0" applyFont="1" applyFill="1" applyBorder="1" applyAlignment="1">
      <alignment vertical="top" wrapText="1"/>
    </xf>
    <xf numFmtId="0" fontId="6" fillId="6" borderId="115" xfId="0" applyFont="1" applyFill="1" applyBorder="1" applyAlignment="1"/>
    <xf numFmtId="0" fontId="5" fillId="0" borderId="116" xfId="0" applyFont="1" applyBorder="1"/>
    <xf numFmtId="0" fontId="5" fillId="0" borderId="121" xfId="0" applyFont="1" applyBorder="1"/>
    <xf numFmtId="0" fontId="5" fillId="0" borderId="126" xfId="0" applyFont="1" applyBorder="1"/>
    <xf numFmtId="0" fontId="6" fillId="6" borderId="118" xfId="0" applyFont="1" applyFill="1" applyBorder="1" applyAlignment="1"/>
    <xf numFmtId="0" fontId="5" fillId="0" borderId="122" xfId="0" applyFont="1" applyBorder="1"/>
    <xf numFmtId="0" fontId="5" fillId="0" borderId="127" xfId="0" applyFont="1" applyBorder="1"/>
    <xf numFmtId="0" fontId="24" fillId="9" borderId="0" xfId="0" applyFont="1" applyFill="1" applyAlignment="1" applyProtection="1">
      <alignment horizontal="left" vertical="center"/>
      <protection locked="0"/>
    </xf>
    <xf numFmtId="0" fontId="6" fillId="6" borderId="128" xfId="0" applyFont="1" applyFill="1" applyBorder="1" applyAlignment="1"/>
    <xf numFmtId="0" fontId="25" fillId="9" borderId="0" xfId="0" applyFont="1" applyFill="1" applyAlignment="1" applyProtection="1">
      <alignment horizontal="left" vertical="top" wrapText="1"/>
      <protection locked="0"/>
    </xf>
    <xf numFmtId="0" fontId="26" fillId="9" borderId="0" xfId="0" applyFont="1" applyFill="1" applyAlignment="1" applyProtection="1">
      <alignment horizontal="left" vertical="top"/>
      <protection locked="0"/>
    </xf>
    <xf numFmtId="0" fontId="38" fillId="12" borderId="0" xfId="0" applyFont="1" applyFill="1" applyBorder="1" applyAlignment="1" applyProtection="1">
      <alignment horizontal="left" vertical="center"/>
      <protection locked="0"/>
    </xf>
    <xf numFmtId="0" fontId="39" fillId="12" borderId="0" xfId="0" applyFont="1" applyFill="1" applyBorder="1" applyAlignment="1" applyProtection="1">
      <alignment horizontal="left" vertical="center"/>
      <protection locked="0"/>
    </xf>
    <xf numFmtId="0" fontId="32" fillId="11" borderId="0" xfId="0" applyFont="1" applyFill="1" applyBorder="1" applyAlignment="1" applyProtection="1">
      <alignment horizontal="center" vertical="center" wrapText="1"/>
      <protection locked="0"/>
    </xf>
    <xf numFmtId="0" fontId="34" fillId="11" borderId="0" xfId="0" applyFont="1" applyFill="1" applyBorder="1" applyAlignment="1" applyProtection="1">
      <alignment horizontal="center" vertical="center" wrapText="1"/>
      <protection locked="0"/>
    </xf>
    <xf numFmtId="0" fontId="45" fillId="14" borderId="129" xfId="0" applyFont="1" applyFill="1" applyBorder="1" applyAlignment="1" applyProtection="1">
      <alignment horizontal="center" vertical="center" wrapText="1"/>
      <protection locked="0"/>
    </xf>
    <xf numFmtId="0" fontId="41" fillId="0" borderId="0" xfId="0" applyFont="1" applyBorder="1" applyAlignment="1" applyProtection="1">
      <alignment wrapText="1"/>
      <protection locked="0"/>
    </xf>
    <xf numFmtId="3" fontId="0" fillId="0" borderId="0" xfId="0" applyNumberFormat="1"/>
    <xf numFmtId="0" fontId="50" fillId="16" borderId="129" xfId="0" applyFont="1" applyFill="1" applyBorder="1" applyAlignment="1" applyProtection="1">
      <alignment horizontal="center" vertical="center"/>
      <protection locked="0"/>
    </xf>
    <xf numFmtId="0" fontId="47" fillId="0" borderId="129" xfId="0" applyFont="1" applyBorder="1" applyAlignment="1" applyProtection="1">
      <alignment wrapText="1"/>
      <protection locked="0"/>
    </xf>
    <xf numFmtId="4" fontId="0" fillId="0" borderId="0" xfId="0" applyNumberFormat="1"/>
    <xf numFmtId="0" fontId="60" fillId="18" borderId="0" xfId="0" applyFont="1" applyFill="1" applyBorder="1" applyAlignment="1" applyProtection="1">
      <alignment horizontal="center" vertical="center"/>
      <protection locked="0"/>
    </xf>
    <xf numFmtId="0" fontId="31" fillId="11" borderId="129" xfId="0" applyFont="1" applyFill="1" applyBorder="1" applyAlignment="1">
      <alignment horizontal="center" vertical="center" wrapText="1"/>
    </xf>
    <xf numFmtId="0" fontId="0" fillId="0" borderId="0" xfId="0" applyNumberFormat="1"/>
    <xf numFmtId="0" fontId="68" fillId="20" borderId="129" xfId="0" applyFont="1" applyFill="1" applyBorder="1" applyAlignment="1" applyProtection="1">
      <alignment horizontal="center" vertical="center" wrapText="1"/>
      <protection locked="0"/>
    </xf>
    <xf numFmtId="0" fontId="71" fillId="22" borderId="129" xfId="0" applyFont="1" applyFill="1" applyBorder="1" applyAlignment="1" applyProtection="1">
      <alignment horizontal="center" vertical="center"/>
      <protection locked="0"/>
    </xf>
    <xf numFmtId="0" fontId="75" fillId="0" borderId="0" xfId="0" applyFont="1" applyProtection="1">
      <protection locked="0"/>
    </xf>
  </cellXfs>
  <cellStyles count="1">
    <cellStyle name="Normal" xfId="0" builtinId="0"/>
  </cellStyles>
  <dxfs count="46">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919191"/>
      </font>
    </dxf>
    <dxf>
      <font>
        <color rgb="FF919191"/>
      </font>
    </dxf>
    <dxf>
      <font>
        <color rgb="FF919191"/>
      </font>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fill>
        <patternFill patternType="solid">
          <bgColor rgb="FFF3F3F3"/>
        </patternFill>
      </fill>
      <border>
        <left style="thin">
          <color rgb="FFCFCFCF"/>
        </left>
        <right style="thin">
          <color rgb="FFCFCFCF"/>
        </right>
        <top style="thin">
          <color rgb="FFCFCFCF"/>
        </top>
        <bottom style="thin">
          <color rgb="FFCFCFCF"/>
        </bottom>
      </border>
    </dxf>
    <dxf>
      <font>
        <color rgb="FF919191"/>
      </font>
      <fill>
        <patternFill patternType="solid">
          <bgColor rgb="FFF3F3F3"/>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514350</xdr:colOff>
      <xdr:row>8</xdr:row>
      <xdr:rowOff>19050</xdr:rowOff>
    </xdr:from>
    <xdr:ext cx="571500" cy="485775"/>
    <xdr:pic>
      <xdr:nvPicPr>
        <xdr:cNvPr id="2" name="image6.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57150</xdr:colOff>
      <xdr:row>56</xdr:row>
      <xdr:rowOff>19050</xdr:rowOff>
    </xdr:from>
    <xdr:ext cx="400050" cy="333375"/>
    <xdr:pic>
      <xdr:nvPicPr>
        <xdr:cNvPr id="3" name="image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19050</xdr:colOff>
      <xdr:row>41</xdr:row>
      <xdr:rowOff>219075</xdr:rowOff>
    </xdr:from>
    <xdr:ext cx="390525" cy="333375"/>
    <xdr:pic>
      <xdr:nvPicPr>
        <xdr:cNvPr id="4" name="image3.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38100</xdr:colOff>
      <xdr:row>27</xdr:row>
      <xdr:rowOff>38100</xdr:rowOff>
    </xdr:from>
    <xdr:ext cx="400050" cy="323850"/>
    <xdr:pic>
      <xdr:nvPicPr>
        <xdr:cNvPr id="5" name="image1.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19050</xdr:colOff>
      <xdr:row>63</xdr:row>
      <xdr:rowOff>0</xdr:rowOff>
    </xdr:from>
    <xdr:ext cx="390525" cy="323850"/>
    <xdr:pic>
      <xdr:nvPicPr>
        <xdr:cNvPr id="6" name="image2.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38100</xdr:colOff>
      <xdr:row>73</xdr:row>
      <xdr:rowOff>0</xdr:rowOff>
    </xdr:from>
    <xdr:ext cx="400050" cy="342900"/>
    <xdr:pic>
      <xdr:nvPicPr>
        <xdr:cNvPr id="7" name="image7.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1</xdr:row>
      <xdr:rowOff>0</xdr:rowOff>
    </xdr:from>
    <xdr:ext cx="438150" cy="314325"/>
    <xdr:pic>
      <xdr:nvPicPr>
        <xdr:cNvPr id="8" name="image5.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xdr:from>
      <xdr:col>6</xdr:col>
      <xdr:colOff>0</xdr:colOff>
      <xdr:row>80</xdr:row>
      <xdr:rowOff>0</xdr:rowOff>
    </xdr:from>
    <xdr:to>
      <xdr:col>7</xdr:col>
      <xdr:colOff>68483</xdr:colOff>
      <xdr:row>81</xdr:row>
      <xdr:rowOff>177165</xdr:rowOff>
    </xdr:to>
    <xdr:pic>
      <xdr:nvPicPr>
        <xdr:cNvPr id="9" name="Picture 1" descr="Picture"/>
        <xdr:cNvPicPr>
          <a:picLocks noChangeAspect="1"/>
        </xdr:cNvPicPr>
      </xdr:nvPicPr>
      <xdr:blipFill>
        <a:blip xmlns:r="http://schemas.openxmlformats.org/officeDocument/2006/relationships" r:embed="rId8"/>
        <a:stretch>
          <a:fillRect/>
        </a:stretch>
      </xdr:blipFill>
      <xdr:spPr>
        <a:xfrm>
          <a:off x="0" y="0"/>
          <a:ext cx="377190" cy="37719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endedores.mercadolibre.com.ar/nota/requisitos-de-fotos-para-sillon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mercadolibre.com.ar/gestion_de_fotos?from=excel" TargetMode="External"/><Relationship Id="rId2" Type="http://schemas.openxmlformats.org/officeDocument/2006/relationships/hyperlink" Target="https://vendedores.mercadolibre.com.ar/nota/codigo-universal-de-producto-todo-lo-que-tenes-que-saber/" TargetMode="External"/><Relationship Id="rId1" Type="http://schemas.openxmlformats.org/officeDocument/2006/relationships/hyperlink" Target="https://www.mercadolibre.com.ar/ayuda/31926" TargetMode="External"/><Relationship Id="rId5" Type="http://schemas.openxmlformats.org/officeDocument/2006/relationships/hyperlink" Target="https://vendedores.mercadolibre.com.ar/nota/aprende-a-completar-tu-excel-para-publicar-masivamente" TargetMode="External"/><Relationship Id="rId4" Type="http://schemas.openxmlformats.org/officeDocument/2006/relationships/hyperlink" Target="https://www.mercadolibre.com.ar/simulador-de-cost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Z1000"/>
  <sheetViews>
    <sheetView workbookViewId="0"/>
  </sheetViews>
  <sheetFormatPr defaultColWidth="12.5703125" defaultRowHeight="15" customHeight="1"/>
  <cols>
    <col min="1" max="1" width="12.140625" customWidth="1"/>
    <col min="2" max="2" width="6.140625" customWidth="1"/>
    <col min="3" max="3" width="17.5703125" customWidth="1"/>
    <col min="4" max="4" width="37" customWidth="1"/>
    <col min="5" max="5" width="6.140625" customWidth="1"/>
    <col min="6" max="6" width="7.42578125" customWidth="1"/>
    <col min="7" max="7" width="4.5703125" customWidth="1"/>
    <col min="8" max="8" width="4.42578125" customWidth="1"/>
    <col min="9" max="10" width="7.42578125" customWidth="1"/>
    <col min="11" max="11" width="1.85546875" customWidth="1"/>
    <col min="12" max="12" width="10.140625" customWidth="1"/>
    <col min="13" max="14" width="14.42578125" customWidth="1"/>
    <col min="15" max="15" width="7.42578125" customWidth="1"/>
    <col min="16" max="26" width="14.42578125" customWidth="1"/>
  </cols>
  <sheetData>
    <row r="1" spans="1:26" ht="24" customHeight="1">
      <c r="A1" s="1"/>
      <c r="B1" s="1"/>
      <c r="C1" s="1"/>
      <c r="D1" s="1"/>
      <c r="E1" s="1"/>
      <c r="F1" s="2"/>
      <c r="G1" s="2"/>
      <c r="H1" s="2"/>
      <c r="I1" s="2"/>
      <c r="J1" s="2"/>
      <c r="K1" s="2"/>
      <c r="L1" s="2"/>
      <c r="M1" s="2"/>
      <c r="N1" s="2"/>
      <c r="O1" s="3"/>
      <c r="P1" s="4"/>
      <c r="Q1" s="4"/>
      <c r="R1" s="4"/>
      <c r="S1" s="4"/>
      <c r="T1" s="4"/>
      <c r="U1" s="4"/>
      <c r="V1" s="4"/>
      <c r="W1" s="4"/>
      <c r="X1" s="4"/>
      <c r="Y1" s="4"/>
      <c r="Z1" s="4"/>
    </row>
    <row r="2" spans="1:26" ht="24.75" customHeight="1">
      <c r="A2" s="5"/>
      <c r="B2" s="6" t="s">
        <v>0</v>
      </c>
      <c r="C2" s="7"/>
      <c r="D2" s="8"/>
      <c r="E2" s="9"/>
      <c r="F2" s="10"/>
      <c r="G2" s="10"/>
      <c r="H2" s="10"/>
      <c r="I2" s="10"/>
      <c r="J2" s="10"/>
      <c r="K2" s="10"/>
      <c r="L2" s="10"/>
      <c r="M2" s="10"/>
      <c r="N2" s="10"/>
      <c r="O2" s="11"/>
      <c r="P2" s="4"/>
      <c r="Q2" s="4"/>
      <c r="R2" s="4"/>
      <c r="S2" s="4"/>
      <c r="T2" s="4"/>
      <c r="U2" s="4"/>
      <c r="V2" s="4"/>
      <c r="W2" s="4"/>
      <c r="X2" s="4"/>
      <c r="Y2" s="4"/>
      <c r="Z2" s="4"/>
    </row>
    <row r="3" spans="1:26" ht="18.75" customHeight="1">
      <c r="A3" s="12"/>
      <c r="B3" s="13" t="s">
        <v>1</v>
      </c>
      <c r="C3" s="14"/>
      <c r="D3" s="14"/>
      <c r="E3" s="15"/>
      <c r="F3" s="15"/>
      <c r="G3" s="15"/>
      <c r="H3" s="15"/>
      <c r="I3" s="15"/>
      <c r="J3" s="15"/>
      <c r="K3" s="15"/>
      <c r="L3" s="15"/>
      <c r="M3" s="15"/>
      <c r="N3" s="15"/>
      <c r="O3" s="16"/>
      <c r="P3" s="4"/>
      <c r="Q3" s="4"/>
      <c r="R3" s="4"/>
      <c r="S3" s="4"/>
      <c r="T3" s="4"/>
      <c r="U3" s="4"/>
      <c r="V3" s="4"/>
      <c r="W3" s="4"/>
      <c r="X3" s="4"/>
      <c r="Y3" s="4"/>
      <c r="Z3" s="4"/>
    </row>
    <row r="4" spans="1:26" ht="30" customHeight="1">
      <c r="A4" s="178"/>
      <c r="B4" s="179"/>
      <c r="C4" s="179"/>
      <c r="D4" s="179"/>
      <c r="E4" s="179"/>
      <c r="F4" s="179"/>
      <c r="G4" s="179"/>
      <c r="H4" s="179"/>
      <c r="I4" s="179"/>
      <c r="J4" s="179"/>
      <c r="K4" s="179"/>
      <c r="L4" s="179"/>
      <c r="M4" s="179"/>
      <c r="N4" s="179"/>
      <c r="O4" s="180"/>
      <c r="P4" s="4"/>
      <c r="Q4" s="4"/>
      <c r="R4" s="4"/>
      <c r="S4" s="4"/>
      <c r="T4" s="4"/>
      <c r="U4" s="4"/>
      <c r="V4" s="4"/>
      <c r="W4" s="4"/>
      <c r="X4" s="4"/>
      <c r="Y4" s="4"/>
      <c r="Z4" s="4"/>
    </row>
    <row r="5" spans="1:26" ht="3.75" customHeight="1">
      <c r="A5" s="181"/>
      <c r="B5" s="147"/>
      <c r="C5" s="147"/>
      <c r="D5" s="147"/>
      <c r="E5" s="147"/>
      <c r="F5" s="147"/>
      <c r="G5" s="147"/>
      <c r="H5" s="147"/>
      <c r="I5" s="147"/>
      <c r="J5" s="147"/>
      <c r="K5" s="147"/>
      <c r="L5" s="147"/>
      <c r="M5" s="147"/>
      <c r="N5" s="147"/>
      <c r="O5" s="182"/>
      <c r="P5" s="4"/>
      <c r="Q5" s="4"/>
      <c r="R5" s="4"/>
      <c r="S5" s="4"/>
      <c r="T5" s="4"/>
      <c r="U5" s="4"/>
      <c r="V5" s="4"/>
      <c r="W5" s="4"/>
      <c r="X5" s="4"/>
      <c r="Y5" s="4"/>
      <c r="Z5" s="4"/>
    </row>
    <row r="6" spans="1:26" ht="30" customHeight="1">
      <c r="A6" s="183"/>
      <c r="B6" s="184"/>
      <c r="C6" s="184"/>
      <c r="D6" s="185"/>
      <c r="E6" s="186"/>
      <c r="F6" s="187"/>
      <c r="G6" s="188"/>
      <c r="H6" s="189"/>
      <c r="I6" s="189"/>
      <c r="J6" s="189"/>
      <c r="K6" s="189"/>
      <c r="L6" s="189"/>
      <c r="M6" s="189"/>
      <c r="N6" s="189"/>
      <c r="O6" s="190"/>
      <c r="P6" s="4"/>
      <c r="Q6" s="4"/>
      <c r="R6" s="4"/>
      <c r="S6" s="4"/>
      <c r="T6" s="4"/>
      <c r="U6" s="4"/>
      <c r="V6" s="4"/>
      <c r="W6" s="4"/>
      <c r="X6" s="4"/>
      <c r="Y6" s="4"/>
      <c r="Z6" s="4"/>
    </row>
    <row r="7" spans="1:26" ht="19.5" customHeight="1">
      <c r="A7" s="17"/>
      <c r="B7" s="18" t="s">
        <v>2</v>
      </c>
      <c r="C7" s="17"/>
      <c r="D7" s="17"/>
      <c r="E7" s="109"/>
      <c r="F7" s="112"/>
      <c r="G7" s="19" t="s">
        <v>3</v>
      </c>
      <c r="H7" s="20"/>
      <c r="I7" s="21"/>
      <c r="J7" s="21"/>
      <c r="K7" s="22"/>
      <c r="L7" s="22"/>
      <c r="M7" s="22"/>
      <c r="N7" s="22"/>
      <c r="O7" s="23"/>
      <c r="P7" s="4"/>
      <c r="Q7" s="4"/>
      <c r="R7" s="4"/>
      <c r="S7" s="4"/>
      <c r="T7" s="4"/>
      <c r="U7" s="4"/>
      <c r="V7" s="4"/>
      <c r="W7" s="4"/>
      <c r="X7" s="4"/>
      <c r="Y7" s="4"/>
      <c r="Z7" s="4"/>
    </row>
    <row r="8" spans="1:26" ht="18.75" customHeight="1">
      <c r="A8" s="17"/>
      <c r="B8" s="191"/>
      <c r="C8" s="105"/>
      <c r="D8" s="106"/>
      <c r="E8" s="109"/>
      <c r="F8" s="112"/>
      <c r="G8" s="24"/>
      <c r="H8" s="24"/>
      <c r="I8" s="25"/>
      <c r="J8" s="25"/>
      <c r="K8" s="25"/>
      <c r="L8" s="25"/>
      <c r="M8" s="25"/>
      <c r="N8" s="25"/>
      <c r="O8" s="26"/>
      <c r="P8" s="4"/>
      <c r="Q8" s="4"/>
      <c r="R8" s="4"/>
      <c r="S8" s="4"/>
      <c r="T8" s="4"/>
      <c r="U8" s="4"/>
      <c r="V8" s="4"/>
      <c r="W8" s="4"/>
      <c r="X8" s="4"/>
      <c r="Y8" s="4"/>
      <c r="Z8" s="4"/>
    </row>
    <row r="9" spans="1:26" ht="18.75" customHeight="1">
      <c r="A9" s="27"/>
      <c r="B9" s="114" t="s">
        <v>40</v>
      </c>
      <c r="C9" s="115"/>
      <c r="D9" s="116"/>
      <c r="E9" s="109"/>
      <c r="F9" s="112"/>
      <c r="G9" s="24"/>
      <c r="H9" s="26"/>
      <c r="I9" s="117" t="s">
        <v>4</v>
      </c>
      <c r="J9" s="118"/>
      <c r="K9" s="118"/>
      <c r="L9" s="118"/>
      <c r="M9" s="118"/>
      <c r="N9" s="119"/>
      <c r="O9" s="28"/>
      <c r="P9" s="4"/>
      <c r="Q9" s="4"/>
      <c r="R9" s="4"/>
      <c r="S9" s="4"/>
      <c r="T9" s="4"/>
      <c r="U9" s="4"/>
      <c r="V9" s="4"/>
      <c r="W9" s="4"/>
      <c r="X9" s="4"/>
      <c r="Y9" s="4"/>
      <c r="Z9" s="4"/>
    </row>
    <row r="10" spans="1:26" ht="18.75" customHeight="1">
      <c r="A10" s="27"/>
      <c r="B10" s="120"/>
      <c r="C10" s="115"/>
      <c r="D10" s="116"/>
      <c r="E10" s="109"/>
      <c r="F10" s="112"/>
      <c r="G10" s="24"/>
      <c r="H10" s="29"/>
      <c r="I10" s="121" t="str">
        <f>HYPERLINK("https://www.mercadolibre.com.ar/publicar-masivamente/upload","subir la planilla excel")</f>
        <v>subir la planilla excel</v>
      </c>
      <c r="J10" s="122"/>
      <c r="K10" s="122"/>
      <c r="L10" s="122"/>
      <c r="M10" s="122"/>
      <c r="N10" s="123"/>
      <c r="O10" s="28"/>
      <c r="P10" s="4"/>
      <c r="Q10" s="4"/>
      <c r="R10" s="4"/>
      <c r="S10" s="4"/>
      <c r="T10" s="4"/>
      <c r="U10" s="4"/>
      <c r="V10" s="4"/>
      <c r="W10" s="4"/>
      <c r="X10" s="4"/>
      <c r="Y10" s="4"/>
      <c r="Z10" s="4"/>
    </row>
    <row r="11" spans="1:26" ht="18.75" customHeight="1">
      <c r="A11" s="27"/>
      <c r="B11" s="124"/>
      <c r="C11" s="105"/>
      <c r="D11" s="106"/>
      <c r="E11" s="109"/>
      <c r="F11" s="112"/>
      <c r="G11" s="24"/>
      <c r="H11" s="24"/>
      <c r="I11" s="125" t="s">
        <v>26</v>
      </c>
      <c r="J11" s="126"/>
      <c r="K11" s="126"/>
      <c r="L11" s="126"/>
      <c r="M11" s="126"/>
      <c r="N11" s="127"/>
      <c r="O11" s="26"/>
      <c r="P11" s="4"/>
      <c r="Q11" s="4"/>
      <c r="R11" s="4"/>
      <c r="S11" s="4"/>
      <c r="T11" s="4"/>
      <c r="U11" s="4"/>
      <c r="V11" s="4"/>
      <c r="W11" s="4"/>
      <c r="X11" s="4"/>
      <c r="Y11" s="4"/>
      <c r="Z11" s="4"/>
    </row>
    <row r="12" spans="1:26" ht="18.75" customHeight="1">
      <c r="A12" s="27"/>
      <c r="B12" s="124"/>
      <c r="C12" s="105"/>
      <c r="D12" s="106"/>
      <c r="E12" s="109"/>
      <c r="F12" s="112"/>
      <c r="G12" s="30"/>
      <c r="H12" s="30"/>
      <c r="I12" s="31"/>
      <c r="J12" s="31"/>
      <c r="K12" s="31"/>
      <c r="L12" s="31"/>
      <c r="M12" s="31"/>
      <c r="N12" s="31"/>
      <c r="O12" s="26"/>
      <c r="P12" s="4"/>
      <c r="Q12" s="4"/>
      <c r="R12" s="4"/>
      <c r="S12" s="4"/>
      <c r="T12" s="4"/>
      <c r="U12" s="4"/>
      <c r="V12" s="4"/>
      <c r="W12" s="4"/>
      <c r="X12" s="4"/>
      <c r="Y12" s="4"/>
      <c r="Z12" s="4"/>
    </row>
    <row r="13" spans="1:26" ht="18.75" customHeight="1">
      <c r="A13" s="27"/>
      <c r="B13" s="124"/>
      <c r="C13" s="105"/>
      <c r="D13" s="106"/>
      <c r="E13" s="109"/>
      <c r="F13" s="112"/>
      <c r="G13" s="149" t="s">
        <v>5</v>
      </c>
      <c r="H13" s="150"/>
      <c r="I13" s="150"/>
      <c r="J13" s="150"/>
      <c r="K13" s="150"/>
      <c r="L13" s="150"/>
      <c r="M13" s="150"/>
      <c r="N13" s="151"/>
      <c r="O13" s="26"/>
      <c r="P13" s="4"/>
      <c r="Q13" s="4"/>
      <c r="R13" s="4"/>
      <c r="S13" s="4"/>
      <c r="T13" s="4"/>
      <c r="U13" s="4"/>
      <c r="V13" s="4"/>
      <c r="W13" s="4"/>
      <c r="X13" s="4"/>
      <c r="Y13" s="4"/>
      <c r="Z13" s="4"/>
    </row>
    <row r="14" spans="1:26" ht="18.75" customHeight="1">
      <c r="A14" s="27"/>
      <c r="B14" s="32"/>
      <c r="C14" s="32"/>
      <c r="D14" s="32"/>
      <c r="E14" s="109"/>
      <c r="F14" s="112"/>
      <c r="G14" s="33"/>
      <c r="H14" s="33"/>
      <c r="I14" s="33"/>
      <c r="J14" s="33"/>
      <c r="K14" s="33"/>
      <c r="L14" s="33"/>
      <c r="M14" s="33"/>
      <c r="N14" s="33"/>
      <c r="O14" s="26"/>
      <c r="P14" s="4"/>
      <c r="Q14" s="4"/>
      <c r="R14" s="4"/>
      <c r="S14" s="4"/>
      <c r="T14" s="4"/>
      <c r="U14" s="4"/>
      <c r="V14" s="4"/>
      <c r="W14" s="4"/>
      <c r="X14" s="4"/>
      <c r="Y14" s="4"/>
      <c r="Z14" s="4"/>
    </row>
    <row r="15" spans="1:26" ht="16.5" customHeight="1">
      <c r="A15" s="27"/>
      <c r="B15" s="32"/>
      <c r="C15" s="32"/>
      <c r="D15" s="32"/>
      <c r="E15" s="109"/>
      <c r="F15" s="112"/>
      <c r="G15" s="34" t="s">
        <v>6</v>
      </c>
      <c r="H15" s="31"/>
      <c r="I15" s="31"/>
      <c r="J15" s="31"/>
      <c r="K15" s="31"/>
      <c r="L15" s="31"/>
      <c r="M15" s="31"/>
      <c r="N15" s="31"/>
      <c r="O15" s="26"/>
      <c r="P15" s="4"/>
      <c r="Q15" s="4"/>
      <c r="R15" s="4"/>
      <c r="S15" s="4"/>
      <c r="T15" s="4"/>
      <c r="U15" s="4"/>
      <c r="V15" s="4"/>
      <c r="W15" s="4"/>
      <c r="X15" s="4"/>
      <c r="Y15" s="4"/>
      <c r="Z15" s="4"/>
    </row>
    <row r="16" spans="1:26" ht="9.75" customHeight="1">
      <c r="A16" s="27"/>
      <c r="B16" s="32"/>
      <c r="C16" s="32"/>
      <c r="D16" s="32"/>
      <c r="E16" s="109"/>
      <c r="F16" s="112"/>
      <c r="G16" s="31"/>
      <c r="H16" s="31"/>
      <c r="I16" s="31"/>
      <c r="J16" s="31"/>
      <c r="K16" s="31"/>
      <c r="L16" s="31"/>
      <c r="M16" s="31"/>
      <c r="N16" s="31"/>
      <c r="O16" s="26"/>
      <c r="P16" s="4"/>
      <c r="Q16" s="4"/>
      <c r="R16" s="4"/>
      <c r="S16" s="4"/>
      <c r="T16" s="4"/>
      <c r="U16" s="4"/>
      <c r="V16" s="4"/>
      <c r="W16" s="4"/>
      <c r="X16" s="4"/>
      <c r="Y16" s="4"/>
      <c r="Z16" s="4"/>
    </row>
    <row r="17" spans="1:26" ht="15" customHeight="1">
      <c r="A17" s="27"/>
      <c r="B17" s="32"/>
      <c r="C17" s="32"/>
      <c r="D17" s="32"/>
      <c r="E17" s="109"/>
      <c r="F17" s="112"/>
      <c r="G17" s="152"/>
      <c r="H17" s="153"/>
      <c r="I17" s="128" t="s">
        <v>7</v>
      </c>
      <c r="J17" s="129"/>
      <c r="K17" s="129"/>
      <c r="L17" s="129"/>
      <c r="M17" s="129"/>
      <c r="N17" s="130"/>
      <c r="O17" s="26"/>
      <c r="P17" s="4"/>
      <c r="Q17" s="4"/>
      <c r="R17" s="4"/>
      <c r="S17" s="4"/>
      <c r="T17" s="4"/>
      <c r="U17" s="4"/>
      <c r="V17" s="4"/>
      <c r="W17" s="4"/>
      <c r="X17" s="4"/>
      <c r="Y17" s="4"/>
      <c r="Z17" s="4"/>
    </row>
    <row r="18" spans="1:26" ht="15" customHeight="1">
      <c r="A18" s="27"/>
      <c r="B18" s="32"/>
      <c r="C18" s="32"/>
      <c r="D18" s="32"/>
      <c r="E18" s="109"/>
      <c r="F18" s="112"/>
      <c r="G18" s="31"/>
      <c r="H18" s="31"/>
      <c r="I18" s="131"/>
      <c r="J18" s="132"/>
      <c r="K18" s="132"/>
      <c r="L18" s="132"/>
      <c r="M18" s="132"/>
      <c r="N18" s="133"/>
      <c r="O18" s="26"/>
      <c r="P18" s="4"/>
      <c r="Q18" s="4"/>
      <c r="R18" s="4"/>
      <c r="S18" s="4"/>
      <c r="T18" s="4"/>
      <c r="U18" s="4"/>
      <c r="V18" s="4"/>
      <c r="W18" s="4"/>
      <c r="X18" s="4"/>
      <c r="Y18" s="4"/>
      <c r="Z18" s="4"/>
    </row>
    <row r="19" spans="1:26" ht="15" customHeight="1">
      <c r="A19" s="27"/>
      <c r="B19" s="32"/>
      <c r="C19" s="32"/>
      <c r="D19" s="32"/>
      <c r="E19" s="109"/>
      <c r="F19" s="112"/>
      <c r="G19" s="31"/>
      <c r="H19" s="31"/>
      <c r="I19" s="134"/>
      <c r="J19" s="135"/>
      <c r="K19" s="135"/>
      <c r="L19" s="135"/>
      <c r="M19" s="135"/>
      <c r="N19" s="136"/>
      <c r="O19" s="26"/>
      <c r="P19" s="4"/>
      <c r="Q19" s="4"/>
      <c r="R19" s="4"/>
      <c r="S19" s="4"/>
      <c r="T19" s="4"/>
      <c r="U19" s="4"/>
      <c r="V19" s="4"/>
      <c r="W19" s="4"/>
      <c r="X19" s="4"/>
      <c r="Y19" s="4"/>
      <c r="Z19" s="4"/>
    </row>
    <row r="20" spans="1:26" ht="15" customHeight="1">
      <c r="A20" s="27"/>
      <c r="B20" s="32"/>
      <c r="C20" s="32"/>
      <c r="D20" s="32"/>
      <c r="E20" s="109"/>
      <c r="F20" s="112"/>
      <c r="G20" s="137"/>
      <c r="H20" s="138"/>
      <c r="I20" s="139" t="s">
        <v>8</v>
      </c>
      <c r="J20" s="129"/>
      <c r="K20" s="129"/>
      <c r="L20" s="129"/>
      <c r="M20" s="129"/>
      <c r="N20" s="130"/>
      <c r="O20" s="26"/>
      <c r="P20" s="4"/>
      <c r="Q20" s="4"/>
      <c r="R20" s="4"/>
      <c r="S20" s="4"/>
      <c r="T20" s="4"/>
      <c r="U20" s="4"/>
      <c r="V20" s="4"/>
      <c r="W20" s="4"/>
      <c r="X20" s="4"/>
      <c r="Y20" s="4"/>
      <c r="Z20" s="4"/>
    </row>
    <row r="21" spans="1:26" ht="17.25" customHeight="1">
      <c r="A21" s="27"/>
      <c r="B21" s="140"/>
      <c r="C21" s="141"/>
      <c r="D21" s="142"/>
      <c r="E21" s="109"/>
      <c r="F21" s="112"/>
      <c r="G21" s="31"/>
      <c r="H21" s="31"/>
      <c r="I21" s="131"/>
      <c r="J21" s="132"/>
      <c r="K21" s="132"/>
      <c r="L21" s="132"/>
      <c r="M21" s="132"/>
      <c r="N21" s="133"/>
      <c r="O21" s="26"/>
      <c r="P21" s="4"/>
      <c r="Q21" s="4"/>
      <c r="R21" s="4"/>
      <c r="S21" s="4"/>
      <c r="T21" s="4"/>
      <c r="U21" s="4"/>
      <c r="V21" s="4"/>
      <c r="W21" s="4"/>
      <c r="X21" s="4"/>
      <c r="Y21" s="4"/>
      <c r="Z21" s="4"/>
    </row>
    <row r="22" spans="1:26" ht="14.25" customHeight="1">
      <c r="A22" s="27"/>
      <c r="B22" s="35"/>
      <c r="C22" s="35"/>
      <c r="D22" s="35"/>
      <c r="E22" s="109"/>
      <c r="F22" s="112"/>
      <c r="G22" s="31"/>
      <c r="H22" s="31"/>
      <c r="I22" s="134"/>
      <c r="J22" s="135"/>
      <c r="K22" s="135"/>
      <c r="L22" s="135"/>
      <c r="M22" s="135"/>
      <c r="N22" s="136"/>
      <c r="O22" s="26"/>
      <c r="P22" s="4"/>
      <c r="Q22" s="4"/>
      <c r="R22" s="4"/>
      <c r="S22" s="4"/>
      <c r="T22" s="4"/>
      <c r="U22" s="4"/>
      <c r="V22" s="4"/>
      <c r="W22" s="4"/>
      <c r="X22" s="4"/>
      <c r="Y22" s="4"/>
      <c r="Z22" s="4"/>
    </row>
    <row r="23" spans="1:26" ht="8.25" customHeight="1">
      <c r="A23" s="27"/>
      <c r="B23" s="35"/>
      <c r="C23" s="35"/>
      <c r="D23" s="35"/>
      <c r="E23" s="109"/>
      <c r="F23" s="112"/>
      <c r="G23" s="143"/>
      <c r="H23" s="144"/>
      <c r="I23" s="144"/>
      <c r="J23" s="144"/>
      <c r="K23" s="144"/>
      <c r="L23" s="144"/>
      <c r="M23" s="144"/>
      <c r="N23" s="145"/>
      <c r="O23" s="26"/>
      <c r="P23" s="4"/>
      <c r="Q23" s="4"/>
      <c r="R23" s="4"/>
      <c r="S23" s="4"/>
      <c r="T23" s="4"/>
      <c r="U23" s="4"/>
      <c r="V23" s="4"/>
      <c r="W23" s="4"/>
      <c r="X23" s="4"/>
      <c r="Y23" s="4"/>
      <c r="Z23" s="4"/>
    </row>
    <row r="24" spans="1:26" ht="15.75" customHeight="1">
      <c r="A24" s="27"/>
      <c r="B24" s="146"/>
      <c r="C24" s="147"/>
      <c r="D24" s="148"/>
      <c r="E24" s="109"/>
      <c r="F24" s="112"/>
      <c r="G24" s="154"/>
      <c r="H24" s="147"/>
      <c r="I24" s="147"/>
      <c r="J24" s="147"/>
      <c r="K24" s="147"/>
      <c r="L24" s="147"/>
      <c r="M24" s="147"/>
      <c r="N24" s="153"/>
      <c r="O24" s="26"/>
      <c r="P24" s="4"/>
      <c r="Q24" s="4"/>
      <c r="R24" s="4"/>
      <c r="S24" s="4"/>
      <c r="T24" s="4"/>
      <c r="U24" s="4"/>
      <c r="V24" s="4"/>
      <c r="W24" s="4"/>
      <c r="X24" s="4"/>
      <c r="Y24" s="4"/>
      <c r="Z24" s="4"/>
    </row>
    <row r="25" spans="1:26" ht="15.75" customHeight="1">
      <c r="A25" s="27"/>
      <c r="B25" s="35"/>
      <c r="C25" s="35"/>
      <c r="D25" s="35"/>
      <c r="E25" s="109"/>
      <c r="F25" s="112"/>
      <c r="G25" s="36" t="s">
        <v>9</v>
      </c>
      <c r="H25" s="31"/>
      <c r="I25" s="31"/>
      <c r="J25" s="31"/>
      <c r="K25" s="31"/>
      <c r="L25" s="31"/>
      <c r="M25" s="31"/>
      <c r="N25" s="31"/>
      <c r="O25" s="26"/>
      <c r="P25" s="4"/>
      <c r="Q25" s="4"/>
      <c r="R25" s="4"/>
      <c r="S25" s="4"/>
      <c r="T25" s="4"/>
      <c r="U25" s="4"/>
      <c r="V25" s="4"/>
      <c r="W25" s="4"/>
      <c r="X25" s="4"/>
      <c r="Y25" s="4"/>
      <c r="Z25" s="4"/>
    </row>
    <row r="26" spans="1:26" ht="18.75" customHeight="1">
      <c r="A26" s="27"/>
      <c r="B26" s="146"/>
      <c r="C26" s="147"/>
      <c r="D26" s="148"/>
      <c r="E26" s="109"/>
      <c r="F26" s="112"/>
      <c r="G26" s="37" t="s">
        <v>10</v>
      </c>
      <c r="H26" s="38"/>
      <c r="I26" s="39"/>
      <c r="J26" s="39"/>
      <c r="K26" s="39"/>
      <c r="L26" s="40"/>
      <c r="M26" s="40"/>
      <c r="N26" s="40"/>
      <c r="O26" s="26"/>
      <c r="P26" s="4"/>
      <c r="Q26" s="4"/>
      <c r="R26" s="4"/>
      <c r="S26" s="4"/>
      <c r="T26" s="4"/>
      <c r="U26" s="4"/>
      <c r="V26" s="4"/>
      <c r="W26" s="4"/>
      <c r="X26" s="4"/>
      <c r="Y26" s="4"/>
      <c r="Z26" s="4"/>
    </row>
    <row r="27" spans="1:26" ht="15" customHeight="1">
      <c r="A27" s="27"/>
      <c r="B27" s="146"/>
      <c r="C27" s="147"/>
      <c r="D27" s="148"/>
      <c r="E27" s="109"/>
      <c r="F27" s="112"/>
      <c r="G27" s="41"/>
      <c r="H27" s="42"/>
      <c r="I27" s="40"/>
      <c r="J27" s="40"/>
      <c r="K27" s="40"/>
      <c r="L27" s="40"/>
      <c r="M27" s="40"/>
      <c r="N27" s="40"/>
      <c r="O27" s="26"/>
      <c r="P27" s="4"/>
      <c r="Q27" s="4"/>
      <c r="R27" s="4"/>
      <c r="S27" s="4"/>
      <c r="T27" s="4"/>
      <c r="U27" s="4"/>
      <c r="V27" s="4"/>
      <c r="W27" s="4"/>
      <c r="X27" s="4"/>
      <c r="Y27" s="4"/>
      <c r="Z27" s="4"/>
    </row>
    <row r="28" spans="1:26" ht="18" customHeight="1">
      <c r="A28" s="27"/>
      <c r="B28" s="146"/>
      <c r="C28" s="147"/>
      <c r="D28" s="148"/>
      <c r="E28" s="109"/>
      <c r="F28" s="112"/>
      <c r="G28" s="43"/>
      <c r="H28" s="44"/>
      <c r="I28" s="167" t="s">
        <v>11</v>
      </c>
      <c r="J28" s="129"/>
      <c r="K28" s="129"/>
      <c r="L28" s="129"/>
      <c r="M28" s="129"/>
      <c r="N28" s="168"/>
      <c r="O28" s="26"/>
      <c r="P28" s="4"/>
      <c r="Q28" s="4"/>
      <c r="R28" s="4"/>
      <c r="S28" s="4"/>
      <c r="T28" s="4"/>
      <c r="U28" s="4"/>
      <c r="V28" s="4"/>
      <c r="W28" s="4"/>
      <c r="X28" s="4"/>
      <c r="Y28" s="4"/>
      <c r="Z28" s="4"/>
    </row>
    <row r="29" spans="1:26" ht="18" customHeight="1">
      <c r="A29" s="27"/>
      <c r="B29" s="146"/>
      <c r="C29" s="147"/>
      <c r="D29" s="148"/>
      <c r="E29" s="109"/>
      <c r="F29" s="112"/>
      <c r="G29" s="43"/>
      <c r="H29" s="44"/>
      <c r="I29" s="131"/>
      <c r="J29" s="132"/>
      <c r="K29" s="132"/>
      <c r="L29" s="132"/>
      <c r="M29" s="132"/>
      <c r="N29" s="169"/>
      <c r="O29" s="26"/>
      <c r="P29" s="4"/>
      <c r="Q29" s="4"/>
      <c r="R29" s="4"/>
      <c r="S29" s="4"/>
      <c r="T29" s="4"/>
      <c r="U29" s="4"/>
      <c r="V29" s="4"/>
      <c r="W29" s="4"/>
      <c r="X29" s="4"/>
      <c r="Y29" s="4"/>
      <c r="Z29" s="4"/>
    </row>
    <row r="30" spans="1:26" ht="18" customHeight="1">
      <c r="A30" s="27"/>
      <c r="B30" s="146"/>
      <c r="C30" s="147"/>
      <c r="D30" s="148"/>
      <c r="E30" s="109"/>
      <c r="F30" s="112"/>
      <c r="G30" s="43"/>
      <c r="H30" s="44"/>
      <c r="I30" s="131"/>
      <c r="J30" s="132"/>
      <c r="K30" s="132"/>
      <c r="L30" s="132"/>
      <c r="M30" s="132"/>
      <c r="N30" s="169"/>
      <c r="O30" s="26"/>
      <c r="P30" s="4"/>
      <c r="Q30" s="4"/>
      <c r="R30" s="4"/>
      <c r="S30" s="4"/>
      <c r="T30" s="4"/>
      <c r="U30" s="4"/>
      <c r="V30" s="4"/>
      <c r="W30" s="4"/>
      <c r="X30" s="4"/>
      <c r="Y30" s="4"/>
      <c r="Z30" s="4"/>
    </row>
    <row r="31" spans="1:26" ht="18" customHeight="1">
      <c r="A31" s="27"/>
      <c r="B31" s="146"/>
      <c r="C31" s="147"/>
      <c r="D31" s="148"/>
      <c r="E31" s="109"/>
      <c r="F31" s="112"/>
      <c r="G31" s="43"/>
      <c r="H31" s="44"/>
      <c r="I31" s="131"/>
      <c r="J31" s="132"/>
      <c r="K31" s="132"/>
      <c r="L31" s="132"/>
      <c r="M31" s="132"/>
      <c r="N31" s="169"/>
      <c r="O31" s="26"/>
      <c r="P31" s="4"/>
      <c r="Q31" s="4"/>
      <c r="R31" s="4"/>
      <c r="S31" s="4"/>
      <c r="T31" s="4"/>
      <c r="U31" s="4"/>
      <c r="V31" s="4"/>
      <c r="W31" s="4"/>
      <c r="X31" s="4"/>
      <c r="Y31" s="4"/>
      <c r="Z31" s="4"/>
    </row>
    <row r="32" spans="1:26" ht="36" customHeight="1">
      <c r="A32" s="27"/>
      <c r="B32" s="146"/>
      <c r="C32" s="147"/>
      <c r="D32" s="148"/>
      <c r="E32" s="109"/>
      <c r="F32" s="112"/>
      <c r="G32" s="155"/>
      <c r="H32" s="156"/>
      <c r="I32" s="170"/>
      <c r="J32" s="171"/>
      <c r="K32" s="171"/>
      <c r="L32" s="171"/>
      <c r="M32" s="171"/>
      <c r="N32" s="172"/>
      <c r="O32" s="26"/>
      <c r="P32" s="4"/>
      <c r="Q32" s="4"/>
      <c r="R32" s="4"/>
      <c r="S32" s="4"/>
      <c r="T32" s="4"/>
      <c r="U32" s="4"/>
      <c r="V32" s="4"/>
      <c r="W32" s="4"/>
      <c r="X32" s="4"/>
      <c r="Y32" s="4"/>
      <c r="Z32" s="4"/>
    </row>
    <row r="33" spans="1:26" ht="18" customHeight="1">
      <c r="A33" s="27"/>
      <c r="B33" s="146"/>
      <c r="C33" s="147"/>
      <c r="D33" s="148"/>
      <c r="E33" s="109"/>
      <c r="F33" s="112"/>
      <c r="G33" s="157"/>
      <c r="H33" s="158"/>
      <c r="I33" s="159" t="str">
        <f>HYPERLINK("https://vendedores.mercadolibre.com.ar/nota/con-catalogo-el-primer-lugar-del-listado-puede-ser-tuyo/","Quiero saber más")</f>
        <v>Quiero saber más</v>
      </c>
      <c r="J33" s="160"/>
      <c r="K33" s="160"/>
      <c r="L33" s="160"/>
      <c r="M33" s="160"/>
      <c r="N33" s="161"/>
      <c r="O33" s="26"/>
      <c r="P33" s="4"/>
      <c r="Q33" s="4"/>
      <c r="R33" s="4"/>
      <c r="S33" s="4"/>
      <c r="T33" s="4"/>
      <c r="U33" s="4"/>
      <c r="V33" s="4"/>
      <c r="W33" s="4"/>
      <c r="X33" s="4"/>
      <c r="Y33" s="4"/>
      <c r="Z33" s="4"/>
    </row>
    <row r="34" spans="1:26" ht="18" customHeight="1">
      <c r="A34" s="27"/>
      <c r="B34" s="146"/>
      <c r="C34" s="147"/>
      <c r="D34" s="148"/>
      <c r="E34" s="109"/>
      <c r="F34" s="112"/>
      <c r="G34" s="162"/>
      <c r="H34" s="144"/>
      <c r="I34" s="144"/>
      <c r="J34" s="144"/>
      <c r="K34" s="144"/>
      <c r="L34" s="144"/>
      <c r="M34" s="144"/>
      <c r="N34" s="145"/>
      <c r="O34" s="26"/>
      <c r="P34" s="4"/>
      <c r="Q34" s="4"/>
      <c r="R34" s="4"/>
      <c r="S34" s="4"/>
      <c r="T34" s="4"/>
      <c r="U34" s="4"/>
      <c r="V34" s="4"/>
      <c r="W34" s="4"/>
      <c r="X34" s="4"/>
      <c r="Y34" s="4"/>
      <c r="Z34" s="4"/>
    </row>
    <row r="35" spans="1:26" ht="18" customHeight="1">
      <c r="A35" s="27"/>
      <c r="B35" s="146"/>
      <c r="C35" s="147"/>
      <c r="D35" s="148"/>
      <c r="E35" s="109"/>
      <c r="F35" s="112"/>
      <c r="G35" s="163"/>
      <c r="H35" s="160"/>
      <c r="I35" s="160"/>
      <c r="J35" s="160"/>
      <c r="K35" s="160"/>
      <c r="L35" s="160"/>
      <c r="M35" s="160"/>
      <c r="N35" s="161"/>
      <c r="O35" s="26"/>
      <c r="P35" s="4"/>
      <c r="Q35" s="4"/>
      <c r="R35" s="4"/>
      <c r="S35" s="4"/>
      <c r="T35" s="4"/>
      <c r="U35" s="4"/>
      <c r="V35" s="4"/>
      <c r="W35" s="4"/>
      <c r="X35" s="4"/>
      <c r="Y35" s="4"/>
      <c r="Z35" s="4"/>
    </row>
    <row r="36" spans="1:26" ht="18.75" customHeight="1">
      <c r="A36" s="27"/>
      <c r="B36" s="164"/>
      <c r="C36" s="165"/>
      <c r="D36" s="166"/>
      <c r="E36" s="109"/>
      <c r="F36" s="112"/>
      <c r="G36" s="36" t="s">
        <v>12</v>
      </c>
      <c r="H36" s="38"/>
      <c r="I36" s="39"/>
      <c r="J36" s="39"/>
      <c r="K36" s="39"/>
      <c r="L36" s="40"/>
      <c r="M36" s="40"/>
      <c r="N36" s="40"/>
      <c r="O36" s="26"/>
      <c r="P36" s="4"/>
      <c r="Q36" s="4"/>
      <c r="R36" s="4"/>
      <c r="S36" s="4"/>
      <c r="T36" s="4"/>
      <c r="U36" s="4"/>
      <c r="V36" s="4"/>
      <c r="W36" s="4"/>
      <c r="X36" s="4"/>
      <c r="Y36" s="4"/>
      <c r="Z36" s="4"/>
    </row>
    <row r="37" spans="1:26" ht="18.75" customHeight="1">
      <c r="A37" s="27"/>
      <c r="B37" s="124"/>
      <c r="C37" s="105"/>
      <c r="D37" s="106"/>
      <c r="E37" s="109"/>
      <c r="F37" s="112"/>
      <c r="G37" s="45" t="s">
        <v>13</v>
      </c>
      <c r="H37" s="43"/>
      <c r="I37" s="46"/>
      <c r="J37" s="46"/>
      <c r="K37" s="46"/>
      <c r="L37" s="46"/>
      <c r="M37" s="46"/>
      <c r="N37" s="46"/>
      <c r="O37" s="47"/>
      <c r="P37" s="4"/>
      <c r="Q37" s="4"/>
      <c r="R37" s="4"/>
      <c r="S37" s="4"/>
      <c r="T37" s="4"/>
      <c r="U37" s="4"/>
      <c r="V37" s="4"/>
      <c r="W37" s="4"/>
      <c r="X37" s="4"/>
      <c r="Y37" s="4"/>
      <c r="Z37" s="4"/>
    </row>
    <row r="38" spans="1:26" ht="18.75" customHeight="1">
      <c r="A38" s="27"/>
      <c r="B38" s="27"/>
      <c r="C38" s="27"/>
      <c r="D38" s="27"/>
      <c r="E38" s="109"/>
      <c r="F38" s="112"/>
      <c r="G38" s="163"/>
      <c r="H38" s="160"/>
      <c r="I38" s="160"/>
      <c r="J38" s="160"/>
      <c r="K38" s="160"/>
      <c r="L38" s="160"/>
      <c r="M38" s="160"/>
      <c r="N38" s="161"/>
      <c r="O38" s="48"/>
      <c r="P38" s="4"/>
      <c r="Q38" s="4"/>
      <c r="R38" s="4"/>
      <c r="S38" s="4"/>
      <c r="T38" s="4"/>
      <c r="U38" s="4"/>
      <c r="V38" s="4"/>
      <c r="W38" s="4"/>
      <c r="X38" s="4"/>
      <c r="Y38" s="4"/>
      <c r="Z38" s="4"/>
    </row>
    <row r="39" spans="1:26" ht="18.75" customHeight="1">
      <c r="A39" s="27"/>
      <c r="B39" s="124"/>
      <c r="C39" s="105"/>
      <c r="D39" s="106"/>
      <c r="E39" s="109"/>
      <c r="F39" s="112"/>
      <c r="G39" s="167" t="s">
        <v>14</v>
      </c>
      <c r="H39" s="129"/>
      <c r="I39" s="129"/>
      <c r="J39" s="129"/>
      <c r="K39" s="129"/>
      <c r="L39" s="129"/>
      <c r="M39" s="129"/>
      <c r="N39" s="129"/>
      <c r="O39" s="173"/>
      <c r="P39" s="4"/>
      <c r="Q39" s="4"/>
      <c r="R39" s="4"/>
      <c r="S39" s="4"/>
      <c r="T39" s="4"/>
      <c r="U39" s="4"/>
      <c r="V39" s="4"/>
      <c r="W39" s="4"/>
      <c r="X39" s="4"/>
      <c r="Y39" s="4"/>
      <c r="Z39" s="4"/>
    </row>
    <row r="40" spans="1:26" ht="18.75" customHeight="1">
      <c r="A40" s="27"/>
      <c r="B40" s="124"/>
      <c r="C40" s="105"/>
      <c r="D40" s="106"/>
      <c r="E40" s="109"/>
      <c r="F40" s="112"/>
      <c r="G40" s="174"/>
      <c r="H40" s="175"/>
      <c r="I40" s="175"/>
      <c r="J40" s="175"/>
      <c r="K40" s="175"/>
      <c r="L40" s="175"/>
      <c r="M40" s="175"/>
      <c r="N40" s="175"/>
      <c r="O40" s="176"/>
      <c r="P40" s="4"/>
      <c r="Q40" s="4"/>
      <c r="R40" s="4"/>
      <c r="S40" s="4"/>
      <c r="T40" s="4"/>
      <c r="U40" s="4"/>
      <c r="V40" s="4"/>
      <c r="W40" s="4"/>
      <c r="X40" s="4"/>
      <c r="Y40" s="4"/>
      <c r="Z40" s="4"/>
    </row>
    <row r="41" spans="1:26" ht="18.75" customHeight="1">
      <c r="A41" s="27"/>
      <c r="B41" s="146"/>
      <c r="C41" s="147"/>
      <c r="D41" s="148"/>
      <c r="E41" s="109"/>
      <c r="F41" s="112"/>
      <c r="G41" s="24"/>
      <c r="H41" s="24"/>
      <c r="I41" s="167" t="s">
        <v>15</v>
      </c>
      <c r="J41" s="129"/>
      <c r="K41" s="129"/>
      <c r="L41" s="129"/>
      <c r="M41" s="129"/>
      <c r="N41" s="168"/>
      <c r="O41" s="47"/>
      <c r="P41" s="4"/>
      <c r="Q41" s="4"/>
      <c r="R41" s="4"/>
      <c r="S41" s="4"/>
      <c r="T41" s="4"/>
      <c r="U41" s="4"/>
      <c r="V41" s="4"/>
      <c r="W41" s="4"/>
      <c r="X41" s="4"/>
      <c r="Y41" s="4"/>
      <c r="Z41" s="4"/>
    </row>
    <row r="42" spans="1:26" ht="18.75" customHeight="1">
      <c r="A42" s="49"/>
      <c r="B42" s="146"/>
      <c r="C42" s="147"/>
      <c r="D42" s="148"/>
      <c r="E42" s="109"/>
      <c r="F42" s="112"/>
      <c r="G42" s="50"/>
      <c r="H42" s="50"/>
      <c r="I42" s="131"/>
      <c r="J42" s="132"/>
      <c r="K42" s="132"/>
      <c r="L42" s="132"/>
      <c r="M42" s="132"/>
      <c r="N42" s="169"/>
      <c r="O42" s="26"/>
      <c r="P42" s="4"/>
      <c r="Q42" s="4"/>
      <c r="R42" s="4"/>
      <c r="S42" s="4"/>
      <c r="T42" s="4"/>
      <c r="U42" s="4"/>
      <c r="V42" s="4"/>
      <c r="W42" s="4"/>
      <c r="X42" s="4"/>
      <c r="Y42" s="4"/>
      <c r="Z42" s="4"/>
    </row>
    <row r="43" spans="1:26" ht="18.75" customHeight="1">
      <c r="A43" s="49"/>
      <c r="B43" s="146"/>
      <c r="C43" s="147"/>
      <c r="D43" s="148"/>
      <c r="E43" s="109"/>
      <c r="F43" s="112"/>
      <c r="G43" s="50"/>
      <c r="H43" s="50"/>
      <c r="I43" s="131"/>
      <c r="J43" s="132"/>
      <c r="K43" s="132"/>
      <c r="L43" s="132"/>
      <c r="M43" s="132"/>
      <c r="N43" s="169"/>
      <c r="O43" s="26"/>
      <c r="P43" s="4"/>
      <c r="Q43" s="4"/>
      <c r="R43" s="4"/>
      <c r="S43" s="4"/>
      <c r="T43" s="4"/>
      <c r="U43" s="4"/>
      <c r="V43" s="4"/>
      <c r="W43" s="4"/>
      <c r="X43" s="4"/>
      <c r="Y43" s="4"/>
      <c r="Z43" s="4"/>
    </row>
    <row r="44" spans="1:26" ht="18.75" customHeight="1">
      <c r="A44" s="51"/>
      <c r="B44" s="164"/>
      <c r="C44" s="165"/>
      <c r="D44" s="166"/>
      <c r="E44" s="109"/>
      <c r="F44" s="112"/>
      <c r="G44" s="50"/>
      <c r="H44" s="50"/>
      <c r="I44" s="131"/>
      <c r="J44" s="132"/>
      <c r="K44" s="132"/>
      <c r="L44" s="132"/>
      <c r="M44" s="132"/>
      <c r="N44" s="169"/>
      <c r="O44" s="26"/>
      <c r="P44" s="4"/>
      <c r="Q44" s="4"/>
      <c r="R44" s="4"/>
      <c r="S44" s="4"/>
      <c r="T44" s="4"/>
      <c r="U44" s="4"/>
      <c r="V44" s="4"/>
      <c r="W44" s="4"/>
      <c r="X44" s="4"/>
      <c r="Y44" s="4"/>
      <c r="Z44" s="4"/>
    </row>
    <row r="45" spans="1:26" ht="18.75" customHeight="1">
      <c r="A45" s="51"/>
      <c r="B45" s="124"/>
      <c r="C45" s="105"/>
      <c r="D45" s="106"/>
      <c r="E45" s="109"/>
      <c r="F45" s="112"/>
      <c r="G45" s="50"/>
      <c r="H45" s="50"/>
      <c r="I45" s="131"/>
      <c r="J45" s="132"/>
      <c r="K45" s="132"/>
      <c r="L45" s="132"/>
      <c r="M45" s="132"/>
      <c r="N45" s="169"/>
      <c r="O45" s="26"/>
      <c r="P45" s="4"/>
      <c r="Q45" s="4"/>
      <c r="R45" s="4"/>
      <c r="S45" s="4"/>
      <c r="T45" s="4"/>
      <c r="U45" s="4"/>
      <c r="V45" s="4"/>
      <c r="W45" s="4"/>
      <c r="X45" s="4"/>
      <c r="Y45" s="4"/>
      <c r="Z45" s="4"/>
    </row>
    <row r="46" spans="1:26" ht="18.75" customHeight="1">
      <c r="A46" s="51"/>
      <c r="B46" s="146"/>
      <c r="C46" s="147"/>
      <c r="D46" s="148"/>
      <c r="E46" s="109"/>
      <c r="F46" s="112"/>
      <c r="G46" s="50"/>
      <c r="H46" s="50"/>
      <c r="I46" s="131"/>
      <c r="J46" s="132"/>
      <c r="K46" s="132"/>
      <c r="L46" s="132"/>
      <c r="M46" s="132"/>
      <c r="N46" s="169"/>
      <c r="O46" s="26"/>
      <c r="P46" s="4"/>
      <c r="Q46" s="4"/>
      <c r="R46" s="4"/>
      <c r="S46" s="4"/>
      <c r="T46" s="4"/>
      <c r="U46" s="4"/>
      <c r="V46" s="4"/>
      <c r="W46" s="4"/>
      <c r="X46" s="4"/>
      <c r="Y46" s="4"/>
      <c r="Z46" s="4"/>
    </row>
    <row r="47" spans="1:26" ht="18.75" customHeight="1">
      <c r="A47" s="51"/>
      <c r="B47" s="146"/>
      <c r="C47" s="147"/>
      <c r="D47" s="148"/>
      <c r="E47" s="109"/>
      <c r="F47" s="112"/>
      <c r="G47" s="50"/>
      <c r="H47" s="50"/>
      <c r="I47" s="131"/>
      <c r="J47" s="132"/>
      <c r="K47" s="132"/>
      <c r="L47" s="132"/>
      <c r="M47" s="132"/>
      <c r="N47" s="169"/>
      <c r="O47" s="26"/>
      <c r="P47" s="4"/>
      <c r="Q47" s="4"/>
      <c r="R47" s="4"/>
      <c r="S47" s="4"/>
      <c r="T47" s="4"/>
      <c r="U47" s="4"/>
      <c r="V47" s="4"/>
      <c r="W47" s="4"/>
      <c r="X47" s="4"/>
      <c r="Y47" s="4"/>
      <c r="Z47" s="4"/>
    </row>
    <row r="48" spans="1:26" ht="18.75" customHeight="1">
      <c r="A48" s="51"/>
      <c r="B48" s="146"/>
      <c r="C48" s="147"/>
      <c r="D48" s="148"/>
      <c r="E48" s="109"/>
      <c r="F48" s="112"/>
      <c r="G48" s="50"/>
      <c r="H48" s="50"/>
      <c r="I48" s="131"/>
      <c r="J48" s="132"/>
      <c r="K48" s="132"/>
      <c r="L48" s="132"/>
      <c r="M48" s="132"/>
      <c r="N48" s="169"/>
      <c r="O48" s="26"/>
      <c r="P48" s="4"/>
      <c r="Q48" s="4"/>
      <c r="R48" s="4"/>
      <c r="S48" s="4"/>
      <c r="T48" s="4"/>
      <c r="U48" s="4"/>
      <c r="V48" s="4"/>
      <c r="W48" s="4"/>
      <c r="X48" s="4"/>
      <c r="Y48" s="4"/>
      <c r="Z48" s="4"/>
    </row>
    <row r="49" spans="1:26" ht="39" customHeight="1">
      <c r="A49" s="27"/>
      <c r="B49" s="146"/>
      <c r="C49" s="147"/>
      <c r="D49" s="148"/>
      <c r="E49" s="109"/>
      <c r="F49" s="112"/>
      <c r="G49" s="50"/>
      <c r="H49" s="50"/>
      <c r="I49" s="170"/>
      <c r="J49" s="171"/>
      <c r="K49" s="171"/>
      <c r="L49" s="171"/>
      <c r="M49" s="171"/>
      <c r="N49" s="172"/>
      <c r="O49" s="26"/>
      <c r="P49" s="4"/>
      <c r="Q49" s="4"/>
      <c r="R49" s="4"/>
      <c r="S49" s="4"/>
      <c r="T49" s="4"/>
      <c r="U49" s="4"/>
      <c r="V49" s="4"/>
      <c r="W49" s="4"/>
      <c r="X49" s="4"/>
      <c r="Y49" s="4"/>
      <c r="Z49" s="4"/>
    </row>
    <row r="50" spans="1:26" ht="18.75" customHeight="1">
      <c r="A50" s="49"/>
      <c r="B50" s="124"/>
      <c r="C50" s="105"/>
      <c r="D50" s="106"/>
      <c r="E50" s="109"/>
      <c r="F50" s="112"/>
      <c r="G50" s="50"/>
      <c r="H50" s="50"/>
      <c r="I50" s="177" t="str">
        <f>HYPERLINK("https://www.mercadolibre.com.ar/ayuda/33696","Quiero saber más")</f>
        <v>Quiero saber más</v>
      </c>
      <c r="J50" s="122"/>
      <c r="K50" s="122"/>
      <c r="L50" s="122"/>
      <c r="M50" s="122"/>
      <c r="N50" s="123"/>
      <c r="O50" s="26"/>
      <c r="P50" s="4"/>
      <c r="Q50" s="4"/>
      <c r="R50" s="4"/>
      <c r="S50" s="4"/>
      <c r="T50" s="4"/>
      <c r="U50" s="4"/>
      <c r="V50" s="4"/>
      <c r="W50" s="4"/>
      <c r="X50" s="4"/>
      <c r="Y50" s="4"/>
      <c r="Z50" s="4"/>
    </row>
    <row r="51" spans="1:26" ht="18.75" customHeight="1">
      <c r="A51" s="27"/>
      <c r="B51" s="124"/>
      <c r="C51" s="105"/>
      <c r="D51" s="106"/>
      <c r="E51" s="109"/>
      <c r="F51" s="112"/>
      <c r="G51" s="162"/>
      <c r="H51" s="144"/>
      <c r="I51" s="144"/>
      <c r="J51" s="144"/>
      <c r="K51" s="144"/>
      <c r="L51" s="144"/>
      <c r="M51" s="144"/>
      <c r="N51" s="145"/>
      <c r="O51" s="26"/>
      <c r="P51" s="4"/>
      <c r="Q51" s="4"/>
      <c r="R51" s="4"/>
      <c r="S51" s="4"/>
      <c r="T51" s="4"/>
      <c r="U51" s="4"/>
      <c r="V51" s="4"/>
      <c r="W51" s="4"/>
      <c r="X51" s="4"/>
      <c r="Y51" s="4"/>
      <c r="Z51" s="4"/>
    </row>
    <row r="52" spans="1:26" ht="18.75" customHeight="1">
      <c r="A52" s="49"/>
      <c r="B52" s="146"/>
      <c r="C52" s="147"/>
      <c r="D52" s="148"/>
      <c r="E52" s="109"/>
      <c r="F52" s="112"/>
      <c r="G52" s="163"/>
      <c r="H52" s="160"/>
      <c r="I52" s="160"/>
      <c r="J52" s="160"/>
      <c r="K52" s="160"/>
      <c r="L52" s="160"/>
      <c r="M52" s="160"/>
      <c r="N52" s="161"/>
      <c r="O52" s="26"/>
      <c r="P52" s="4"/>
      <c r="Q52" s="4"/>
      <c r="R52" s="4"/>
      <c r="S52" s="4"/>
      <c r="T52" s="4"/>
      <c r="U52" s="4"/>
      <c r="V52" s="4"/>
      <c r="W52" s="4"/>
      <c r="X52" s="4"/>
      <c r="Y52" s="4"/>
      <c r="Z52" s="4"/>
    </row>
    <row r="53" spans="1:26" ht="18.75" customHeight="1">
      <c r="A53" s="17"/>
      <c r="B53" s="146"/>
      <c r="C53" s="147"/>
      <c r="D53" s="148"/>
      <c r="E53" s="109"/>
      <c r="F53" s="112"/>
      <c r="G53" s="52" t="s">
        <v>16</v>
      </c>
      <c r="H53" s="20"/>
      <c r="I53" s="21"/>
      <c r="J53" s="21"/>
      <c r="K53" s="22"/>
      <c r="L53" s="22"/>
      <c r="M53" s="22"/>
      <c r="N53" s="22"/>
      <c r="O53" s="53"/>
      <c r="P53" s="4"/>
      <c r="Q53" s="4"/>
      <c r="R53" s="4"/>
      <c r="S53" s="4"/>
      <c r="T53" s="4"/>
      <c r="U53" s="4"/>
      <c r="V53" s="4"/>
      <c r="W53" s="4"/>
      <c r="X53" s="4"/>
      <c r="Y53" s="4"/>
      <c r="Z53" s="4"/>
    </row>
    <row r="54" spans="1:26" ht="18.75" customHeight="1">
      <c r="A54" s="17"/>
      <c r="B54" s="104"/>
      <c r="C54" s="105"/>
      <c r="D54" s="106"/>
      <c r="E54" s="109"/>
      <c r="F54" s="112"/>
      <c r="G54" s="24"/>
      <c r="H54" s="24"/>
      <c r="I54" s="24"/>
      <c r="J54" s="24"/>
      <c r="K54" s="24"/>
      <c r="L54" s="24"/>
      <c r="M54" s="24"/>
      <c r="N54" s="24"/>
      <c r="O54" s="53"/>
      <c r="P54" s="4"/>
      <c r="Q54" s="4"/>
      <c r="R54" s="4"/>
      <c r="S54" s="4"/>
      <c r="T54" s="4"/>
      <c r="U54" s="4"/>
      <c r="V54" s="4"/>
      <c r="W54" s="4"/>
      <c r="X54" s="4"/>
      <c r="Y54" s="4"/>
      <c r="Z54" s="4"/>
    </row>
    <row r="55" spans="1:26" ht="18.75" customHeight="1">
      <c r="A55" s="17"/>
      <c r="B55" s="104"/>
      <c r="C55" s="105"/>
      <c r="D55" s="106"/>
      <c r="E55" s="109"/>
      <c r="F55" s="112"/>
      <c r="G55" s="24"/>
      <c r="H55" s="24"/>
      <c r="I55" s="155" t="s">
        <v>17</v>
      </c>
      <c r="J55" s="192"/>
      <c r="K55" s="192"/>
      <c r="L55" s="192"/>
      <c r="M55" s="192"/>
      <c r="N55" s="156"/>
      <c r="O55" s="53"/>
      <c r="P55" s="4"/>
      <c r="Q55" s="4"/>
      <c r="R55" s="4"/>
      <c r="S55" s="4"/>
      <c r="T55" s="4"/>
      <c r="U55" s="4"/>
      <c r="V55" s="4"/>
      <c r="W55" s="4"/>
      <c r="X55" s="4"/>
      <c r="Y55" s="4"/>
      <c r="Z55" s="4"/>
    </row>
    <row r="56" spans="1:26" ht="27" customHeight="1">
      <c r="A56" s="17"/>
      <c r="B56" s="104"/>
      <c r="C56" s="105"/>
      <c r="D56" s="106"/>
      <c r="E56" s="109"/>
      <c r="F56" s="112"/>
      <c r="G56" s="24"/>
      <c r="H56" s="50"/>
      <c r="I56" s="157"/>
      <c r="J56" s="175"/>
      <c r="K56" s="175"/>
      <c r="L56" s="175"/>
      <c r="M56" s="175"/>
      <c r="N56" s="158"/>
      <c r="O56" s="53"/>
      <c r="P56" s="4"/>
      <c r="Q56" s="4"/>
      <c r="R56" s="4"/>
      <c r="S56" s="4"/>
      <c r="T56" s="4"/>
      <c r="U56" s="4"/>
      <c r="V56" s="4"/>
      <c r="W56" s="4"/>
      <c r="X56" s="4"/>
      <c r="Y56" s="4"/>
      <c r="Z56" s="4"/>
    </row>
    <row r="57" spans="1:26" ht="18.75" customHeight="1">
      <c r="A57" s="17"/>
      <c r="B57" s="104"/>
      <c r="C57" s="105"/>
      <c r="D57" s="106"/>
      <c r="E57" s="109"/>
      <c r="F57" s="112"/>
      <c r="G57" s="24"/>
      <c r="H57" s="24"/>
      <c r="I57" s="177" t="str">
        <f>HYPERLINK("https://www.mercadolibre.com.ar/ayuda/C-mo-agregar-las-fotos-de-mis-_5124","Obtener las URLs de mis fotos")</f>
        <v>Obtener las URLs de mis fotos</v>
      </c>
      <c r="J57" s="122"/>
      <c r="K57" s="122"/>
      <c r="L57" s="122"/>
      <c r="M57" s="122"/>
      <c r="N57" s="123"/>
      <c r="O57" s="53"/>
      <c r="P57" s="4"/>
      <c r="Q57" s="4"/>
      <c r="R57" s="4"/>
      <c r="S57" s="4"/>
      <c r="T57" s="4"/>
      <c r="U57" s="4"/>
      <c r="V57" s="4"/>
      <c r="W57" s="4"/>
      <c r="X57" s="4"/>
      <c r="Y57" s="4"/>
      <c r="Z57" s="4"/>
    </row>
    <row r="58" spans="1:26" ht="18.75" customHeight="1">
      <c r="A58" s="17"/>
      <c r="B58" s="104"/>
      <c r="C58" s="105"/>
      <c r="D58" s="106"/>
      <c r="E58" s="109"/>
      <c r="F58" s="112"/>
      <c r="G58" s="162"/>
      <c r="H58" s="144"/>
      <c r="I58" s="144"/>
      <c r="J58" s="144"/>
      <c r="K58" s="144"/>
      <c r="L58" s="144"/>
      <c r="M58" s="144"/>
      <c r="N58" s="145"/>
      <c r="O58" s="53"/>
      <c r="P58" s="4"/>
      <c r="Q58" s="4"/>
      <c r="R58" s="4"/>
      <c r="S58" s="4"/>
      <c r="T58" s="4"/>
      <c r="U58" s="4"/>
      <c r="V58" s="4"/>
      <c r="W58" s="4"/>
      <c r="X58" s="4"/>
      <c r="Y58" s="4"/>
      <c r="Z58" s="4"/>
    </row>
    <row r="59" spans="1:26" ht="18.75" customHeight="1">
      <c r="A59" s="17"/>
      <c r="B59" s="54"/>
      <c r="C59" s="54"/>
      <c r="D59" s="54"/>
      <c r="E59" s="109"/>
      <c r="F59" s="112"/>
      <c r="G59" s="163"/>
      <c r="H59" s="160"/>
      <c r="I59" s="160"/>
      <c r="J59" s="160"/>
      <c r="K59" s="160"/>
      <c r="L59" s="160"/>
      <c r="M59" s="160"/>
      <c r="N59" s="161"/>
      <c r="O59" s="55"/>
      <c r="P59" s="4"/>
      <c r="Q59" s="4"/>
      <c r="R59" s="4"/>
      <c r="S59" s="4"/>
      <c r="T59" s="4"/>
      <c r="U59" s="4"/>
      <c r="V59" s="4"/>
      <c r="W59" s="4"/>
      <c r="X59" s="4"/>
      <c r="Y59" s="4"/>
      <c r="Z59" s="4"/>
    </row>
    <row r="60" spans="1:26" ht="18.75" customHeight="1">
      <c r="A60" s="17"/>
      <c r="B60" s="104"/>
      <c r="C60" s="105"/>
      <c r="D60" s="106"/>
      <c r="E60" s="109"/>
      <c r="F60" s="112"/>
      <c r="G60" s="193" t="s">
        <v>18</v>
      </c>
      <c r="H60" s="118"/>
      <c r="I60" s="118"/>
      <c r="J60" s="118"/>
      <c r="K60" s="118"/>
      <c r="L60" s="118"/>
      <c r="M60" s="118"/>
      <c r="N60" s="118"/>
      <c r="O60" s="119"/>
      <c r="P60" s="4"/>
      <c r="Q60" s="4"/>
      <c r="R60" s="4"/>
      <c r="S60" s="4"/>
      <c r="T60" s="4"/>
      <c r="U60" s="4"/>
      <c r="V60" s="4"/>
      <c r="W60" s="4"/>
      <c r="X60" s="4"/>
      <c r="Y60" s="4"/>
      <c r="Z60" s="4"/>
    </row>
    <row r="61" spans="1:26" ht="19.5" customHeight="1">
      <c r="A61" s="17"/>
      <c r="B61" s="104"/>
      <c r="C61" s="105"/>
      <c r="D61" s="106"/>
      <c r="E61" s="109"/>
      <c r="F61" s="112"/>
      <c r="G61" s="194"/>
      <c r="H61" s="195"/>
      <c r="I61" s="195"/>
      <c r="J61" s="195"/>
      <c r="K61" s="195"/>
      <c r="L61" s="195"/>
      <c r="M61" s="195"/>
      <c r="N61" s="195"/>
      <c r="O61" s="196"/>
      <c r="P61" s="4"/>
      <c r="Q61" s="4"/>
      <c r="R61" s="4"/>
      <c r="S61" s="4"/>
      <c r="T61" s="4"/>
      <c r="U61" s="4"/>
      <c r="V61" s="4"/>
      <c r="W61" s="4"/>
      <c r="X61" s="4"/>
      <c r="Y61" s="4"/>
      <c r="Z61" s="4"/>
    </row>
    <row r="62" spans="1:26" ht="18" customHeight="1">
      <c r="A62" s="17"/>
      <c r="B62" s="104"/>
      <c r="C62" s="105"/>
      <c r="D62" s="106"/>
      <c r="E62" s="110"/>
      <c r="F62" s="113"/>
      <c r="G62" s="204"/>
      <c r="H62" s="205"/>
      <c r="I62" s="197" t="s">
        <v>19</v>
      </c>
      <c r="J62" s="195"/>
      <c r="K62" s="195"/>
      <c r="L62" s="195"/>
      <c r="M62" s="195"/>
      <c r="N62" s="198"/>
      <c r="O62" s="208"/>
      <c r="P62" s="4"/>
      <c r="Q62" s="4"/>
      <c r="R62" s="4"/>
      <c r="S62" s="4"/>
      <c r="T62" s="4"/>
      <c r="U62" s="4"/>
      <c r="V62" s="4"/>
      <c r="W62" s="4"/>
      <c r="X62" s="4"/>
      <c r="Y62" s="4"/>
      <c r="Z62" s="4"/>
    </row>
    <row r="63" spans="1:26" ht="17.25" customHeight="1">
      <c r="A63" s="17"/>
      <c r="B63" s="54"/>
      <c r="C63" s="54"/>
      <c r="D63" s="54"/>
      <c r="E63" s="56"/>
      <c r="F63" s="57"/>
      <c r="G63" s="206"/>
      <c r="H63" s="169"/>
      <c r="I63" s="167" t="s">
        <v>20</v>
      </c>
      <c r="J63" s="129"/>
      <c r="K63" s="129"/>
      <c r="L63" s="129"/>
      <c r="M63" s="129"/>
      <c r="N63" s="168"/>
      <c r="O63" s="209"/>
      <c r="P63" s="4"/>
      <c r="Q63" s="4"/>
      <c r="R63" s="4"/>
      <c r="S63" s="4"/>
      <c r="T63" s="4"/>
      <c r="U63" s="4"/>
      <c r="V63" s="4"/>
      <c r="W63" s="4"/>
      <c r="X63" s="4"/>
      <c r="Y63" s="4"/>
      <c r="Z63" s="4"/>
    </row>
    <row r="64" spans="1:26" ht="17.25" customHeight="1">
      <c r="A64" s="17"/>
      <c r="B64" s="54"/>
      <c r="C64" s="54"/>
      <c r="D64" s="54"/>
      <c r="E64" s="56"/>
      <c r="F64" s="57"/>
      <c r="G64" s="206"/>
      <c r="H64" s="169"/>
      <c r="I64" s="131"/>
      <c r="J64" s="132"/>
      <c r="K64" s="132"/>
      <c r="L64" s="132"/>
      <c r="M64" s="132"/>
      <c r="N64" s="169"/>
      <c r="O64" s="209"/>
      <c r="P64" s="4"/>
      <c r="Q64" s="4"/>
      <c r="R64" s="4"/>
      <c r="S64" s="4"/>
      <c r="T64" s="4"/>
      <c r="U64" s="4"/>
      <c r="V64" s="4"/>
      <c r="W64" s="4"/>
      <c r="X64" s="4"/>
      <c r="Y64" s="4"/>
      <c r="Z64" s="4"/>
    </row>
    <row r="65" spans="1:26" ht="17.25" customHeight="1">
      <c r="A65" s="17"/>
      <c r="B65" s="54"/>
      <c r="C65" s="54"/>
      <c r="D65" s="54"/>
      <c r="E65" s="56"/>
      <c r="F65" s="57"/>
      <c r="G65" s="206"/>
      <c r="H65" s="169"/>
      <c r="I65" s="131"/>
      <c r="J65" s="132"/>
      <c r="K65" s="132"/>
      <c r="L65" s="132"/>
      <c r="M65" s="132"/>
      <c r="N65" s="169"/>
      <c r="O65" s="209"/>
      <c r="P65" s="4"/>
      <c r="Q65" s="4"/>
      <c r="R65" s="4"/>
      <c r="S65" s="4"/>
      <c r="T65" s="4"/>
      <c r="U65" s="4"/>
      <c r="V65" s="4"/>
      <c r="W65" s="4"/>
      <c r="X65" s="4"/>
      <c r="Y65" s="4"/>
      <c r="Z65" s="4"/>
    </row>
    <row r="66" spans="1:26" ht="18" customHeight="1">
      <c r="A66" s="17"/>
      <c r="B66" s="54"/>
      <c r="C66" s="54"/>
      <c r="D66" s="54"/>
      <c r="E66" s="56"/>
      <c r="F66" s="57"/>
      <c r="G66" s="206"/>
      <c r="H66" s="169"/>
      <c r="I66" s="131"/>
      <c r="J66" s="132"/>
      <c r="K66" s="132"/>
      <c r="L66" s="132"/>
      <c r="M66" s="132"/>
      <c r="N66" s="169"/>
      <c r="O66" s="209"/>
      <c r="P66" s="4"/>
      <c r="Q66" s="4"/>
      <c r="R66" s="4"/>
      <c r="S66" s="4"/>
      <c r="T66" s="4"/>
      <c r="U66" s="4"/>
      <c r="V66" s="4"/>
      <c r="W66" s="4"/>
      <c r="X66" s="4"/>
      <c r="Y66" s="4"/>
      <c r="Z66" s="4"/>
    </row>
    <row r="67" spans="1:26" ht="18" customHeight="1">
      <c r="A67" s="17"/>
      <c r="B67" s="54"/>
      <c r="C67" s="54"/>
      <c r="D67" s="54"/>
      <c r="E67" s="56"/>
      <c r="F67" s="57"/>
      <c r="G67" s="206"/>
      <c r="H67" s="169"/>
      <c r="I67" s="131"/>
      <c r="J67" s="132"/>
      <c r="K67" s="132"/>
      <c r="L67" s="132"/>
      <c r="M67" s="132"/>
      <c r="N67" s="169"/>
      <c r="O67" s="209"/>
      <c r="P67" s="4"/>
      <c r="Q67" s="4"/>
      <c r="R67" s="4"/>
      <c r="S67" s="4"/>
      <c r="T67" s="4"/>
      <c r="U67" s="4"/>
      <c r="V67" s="4"/>
      <c r="W67" s="4"/>
      <c r="X67" s="4"/>
      <c r="Y67" s="4"/>
      <c r="Z67" s="4"/>
    </row>
    <row r="68" spans="1:26" ht="15" customHeight="1">
      <c r="A68" s="17"/>
      <c r="B68" s="54"/>
      <c r="C68" s="54"/>
      <c r="D68" s="54"/>
      <c r="E68" s="56"/>
      <c r="F68" s="57"/>
      <c r="G68" s="206"/>
      <c r="H68" s="169"/>
      <c r="I68" s="170"/>
      <c r="J68" s="171"/>
      <c r="K68" s="171"/>
      <c r="L68" s="171"/>
      <c r="M68" s="171"/>
      <c r="N68" s="172"/>
      <c r="O68" s="209"/>
      <c r="P68" s="4"/>
      <c r="Q68" s="4"/>
      <c r="R68" s="4"/>
      <c r="S68" s="4"/>
      <c r="T68" s="4"/>
      <c r="U68" s="4"/>
      <c r="V68" s="4"/>
      <c r="W68" s="4"/>
      <c r="X68" s="4"/>
      <c r="Y68" s="4"/>
      <c r="Z68" s="4"/>
    </row>
    <row r="69" spans="1:26" ht="15.75" customHeight="1">
      <c r="A69" s="17"/>
      <c r="B69" s="104"/>
      <c r="C69" s="105"/>
      <c r="D69" s="106"/>
      <c r="E69" s="186"/>
      <c r="F69" s="187"/>
      <c r="G69" s="206"/>
      <c r="H69" s="169"/>
      <c r="I69" s="202"/>
      <c r="J69" s="200"/>
      <c r="K69" s="200"/>
      <c r="L69" s="200"/>
      <c r="M69" s="200"/>
      <c r="N69" s="201"/>
      <c r="O69" s="209"/>
      <c r="P69" s="4"/>
      <c r="Q69" s="4"/>
      <c r="R69" s="4"/>
      <c r="S69" s="4"/>
      <c r="T69" s="4"/>
      <c r="U69" s="4"/>
      <c r="V69" s="4"/>
      <c r="W69" s="4"/>
      <c r="X69" s="4"/>
      <c r="Y69" s="4"/>
      <c r="Z69" s="4"/>
    </row>
    <row r="70" spans="1:26" ht="15.75" customHeight="1">
      <c r="A70" s="17"/>
      <c r="B70" s="104"/>
      <c r="C70" s="105"/>
      <c r="D70" s="106"/>
      <c r="E70" s="109"/>
      <c r="F70" s="112"/>
      <c r="G70" s="206"/>
      <c r="H70" s="169"/>
      <c r="I70" s="199" t="str">
        <f>HYPERLINK("https://www.mercadolibre.com.ar/ayuda/Sacar-bue-nas-fotos-productos_805","Quiero saber más")</f>
        <v>Quiero saber más</v>
      </c>
      <c r="J70" s="200"/>
      <c r="K70" s="200"/>
      <c r="L70" s="200"/>
      <c r="M70" s="200"/>
      <c r="N70" s="201"/>
      <c r="O70" s="209"/>
      <c r="P70" s="4"/>
      <c r="Q70" s="4"/>
      <c r="R70" s="4"/>
      <c r="S70" s="4"/>
      <c r="T70" s="4"/>
      <c r="U70" s="4"/>
      <c r="V70" s="4"/>
      <c r="W70" s="4"/>
      <c r="X70" s="4"/>
      <c r="Y70" s="4"/>
      <c r="Z70" s="4"/>
    </row>
    <row r="71" spans="1:26" ht="15.75" customHeight="1">
      <c r="A71" s="17"/>
      <c r="B71" s="104"/>
      <c r="C71" s="105"/>
      <c r="D71" s="106"/>
      <c r="E71" s="109"/>
      <c r="F71" s="112"/>
      <c r="G71" s="206"/>
      <c r="H71" s="169"/>
      <c r="I71" s="202"/>
      <c r="J71" s="200"/>
      <c r="K71" s="200"/>
      <c r="L71" s="200"/>
      <c r="M71" s="200"/>
      <c r="N71" s="201"/>
      <c r="O71" s="209"/>
      <c r="P71" s="4"/>
      <c r="Q71" s="4"/>
      <c r="R71" s="4"/>
      <c r="S71" s="4"/>
      <c r="T71" s="4"/>
      <c r="U71" s="4"/>
      <c r="V71" s="4"/>
      <c r="W71" s="4"/>
      <c r="X71" s="4"/>
      <c r="Y71" s="4"/>
      <c r="Z71" s="4"/>
    </row>
    <row r="72" spans="1:26" ht="18" customHeight="1">
      <c r="A72" s="17"/>
      <c r="B72" s="104"/>
      <c r="C72" s="105"/>
      <c r="D72" s="106"/>
      <c r="E72" s="109"/>
      <c r="F72" s="112"/>
      <c r="G72" s="206"/>
      <c r="H72" s="169"/>
      <c r="I72" s="203" t="s">
        <v>21</v>
      </c>
      <c r="J72" s="200"/>
      <c r="K72" s="200"/>
      <c r="L72" s="200"/>
      <c r="M72" s="200"/>
      <c r="N72" s="201"/>
      <c r="O72" s="209"/>
      <c r="P72" s="4"/>
      <c r="Q72" s="4"/>
      <c r="R72" s="4"/>
      <c r="S72" s="4"/>
      <c r="T72" s="4"/>
      <c r="U72" s="4"/>
      <c r="V72" s="4"/>
      <c r="W72" s="4"/>
      <c r="X72" s="4"/>
      <c r="Y72" s="4"/>
      <c r="Z72" s="4"/>
    </row>
    <row r="73" spans="1:26" ht="15.75" customHeight="1">
      <c r="A73" s="17"/>
      <c r="B73" s="54"/>
      <c r="C73" s="54"/>
      <c r="D73" s="54"/>
      <c r="E73" s="109"/>
      <c r="F73" s="112"/>
      <c r="G73" s="206"/>
      <c r="H73" s="169"/>
      <c r="I73" s="167" t="s">
        <v>22</v>
      </c>
      <c r="J73" s="129"/>
      <c r="K73" s="129"/>
      <c r="L73" s="129"/>
      <c r="M73" s="129"/>
      <c r="N73" s="168"/>
      <c r="O73" s="209"/>
      <c r="P73" s="4"/>
      <c r="Q73" s="4"/>
      <c r="R73" s="4"/>
      <c r="S73" s="4"/>
      <c r="T73" s="4"/>
      <c r="U73" s="4"/>
      <c r="V73" s="4"/>
      <c r="W73" s="4"/>
      <c r="X73" s="4"/>
      <c r="Y73" s="4"/>
      <c r="Z73" s="4"/>
    </row>
    <row r="74" spans="1:26" ht="15.75" customHeight="1">
      <c r="A74" s="17"/>
      <c r="B74" s="104"/>
      <c r="C74" s="105"/>
      <c r="D74" s="106"/>
      <c r="E74" s="109"/>
      <c r="F74" s="112"/>
      <c r="G74" s="206"/>
      <c r="H74" s="169"/>
      <c r="I74" s="131"/>
      <c r="J74" s="132"/>
      <c r="K74" s="132"/>
      <c r="L74" s="132"/>
      <c r="M74" s="132"/>
      <c r="N74" s="169"/>
      <c r="O74" s="209"/>
      <c r="P74" s="4"/>
      <c r="Q74" s="4"/>
      <c r="R74" s="4"/>
      <c r="S74" s="4"/>
      <c r="T74" s="4"/>
      <c r="U74" s="4"/>
      <c r="V74" s="4"/>
      <c r="W74" s="4"/>
      <c r="X74" s="4"/>
      <c r="Y74" s="4"/>
      <c r="Z74" s="4"/>
    </row>
    <row r="75" spans="1:26" ht="15.75" customHeight="1">
      <c r="A75" s="17"/>
      <c r="B75" s="54"/>
      <c r="C75" s="54"/>
      <c r="D75" s="54"/>
      <c r="E75" s="109"/>
      <c r="F75" s="112"/>
      <c r="G75" s="206"/>
      <c r="H75" s="169"/>
      <c r="I75" s="131"/>
      <c r="J75" s="132"/>
      <c r="K75" s="132"/>
      <c r="L75" s="132"/>
      <c r="M75" s="132"/>
      <c r="N75" s="169"/>
      <c r="O75" s="209"/>
      <c r="P75" s="4"/>
      <c r="Q75" s="4"/>
      <c r="R75" s="4"/>
      <c r="S75" s="4"/>
      <c r="T75" s="4"/>
      <c r="U75" s="4"/>
      <c r="V75" s="4"/>
      <c r="W75" s="4"/>
      <c r="X75" s="4"/>
      <c r="Y75" s="4"/>
      <c r="Z75" s="4"/>
    </row>
    <row r="76" spans="1:26" ht="15.75" customHeight="1">
      <c r="A76" s="17"/>
      <c r="B76" s="54"/>
      <c r="C76" s="54"/>
      <c r="D76" s="54"/>
      <c r="E76" s="109"/>
      <c r="F76" s="112"/>
      <c r="G76" s="206"/>
      <c r="H76" s="169"/>
      <c r="I76" s="131"/>
      <c r="J76" s="132"/>
      <c r="K76" s="132"/>
      <c r="L76" s="132"/>
      <c r="M76" s="132"/>
      <c r="N76" s="169"/>
      <c r="O76" s="209"/>
      <c r="P76" s="4"/>
      <c r="Q76" s="4"/>
      <c r="R76" s="4"/>
      <c r="S76" s="4"/>
      <c r="T76" s="4"/>
      <c r="U76" s="4"/>
      <c r="V76" s="4"/>
      <c r="W76" s="4"/>
      <c r="X76" s="4"/>
      <c r="Y76" s="4"/>
      <c r="Z76" s="4"/>
    </row>
    <row r="77" spans="1:26" ht="15.75" customHeight="1">
      <c r="A77" s="17"/>
      <c r="B77" s="54"/>
      <c r="C77" s="54"/>
      <c r="D77" s="54"/>
      <c r="E77" s="109"/>
      <c r="F77" s="112"/>
      <c r="G77" s="206"/>
      <c r="H77" s="169"/>
      <c r="I77" s="131"/>
      <c r="J77" s="132"/>
      <c r="K77" s="132"/>
      <c r="L77" s="132"/>
      <c r="M77" s="132"/>
      <c r="N77" s="169"/>
      <c r="O77" s="209"/>
      <c r="P77" s="4"/>
      <c r="Q77" s="4"/>
      <c r="R77" s="4"/>
      <c r="S77" s="4"/>
      <c r="T77" s="4"/>
      <c r="U77" s="4"/>
      <c r="V77" s="4"/>
      <c r="W77" s="4"/>
      <c r="X77" s="4"/>
      <c r="Y77" s="4"/>
      <c r="Z77" s="4"/>
    </row>
    <row r="78" spans="1:26" ht="15.75" customHeight="1">
      <c r="A78" s="17"/>
      <c r="B78" s="54"/>
      <c r="C78" s="54"/>
      <c r="D78" s="54"/>
      <c r="E78" s="109"/>
      <c r="F78" s="112"/>
      <c r="G78" s="206"/>
      <c r="H78" s="169"/>
      <c r="I78" s="170"/>
      <c r="J78" s="171"/>
      <c r="K78" s="171"/>
      <c r="L78" s="171"/>
      <c r="M78" s="171"/>
      <c r="N78" s="172"/>
      <c r="O78" s="209"/>
      <c r="P78" s="4"/>
      <c r="Q78" s="4"/>
      <c r="R78" s="4"/>
      <c r="S78" s="4"/>
      <c r="T78" s="4"/>
      <c r="U78" s="4"/>
      <c r="V78" s="4"/>
      <c r="W78" s="4"/>
      <c r="X78" s="4"/>
      <c r="Y78" s="4"/>
      <c r="Z78" s="4"/>
    </row>
    <row r="79" spans="1:26" ht="15.75" customHeight="1">
      <c r="A79" s="17"/>
      <c r="B79" s="104"/>
      <c r="C79" s="105"/>
      <c r="D79" s="106"/>
      <c r="E79" s="109"/>
      <c r="F79" s="112"/>
      <c r="G79" s="207"/>
      <c r="H79" s="172"/>
      <c r="I79" s="199" t="str">
        <f>HYPERLINK("https://www.mercadolibre.com.ar/ayuda/22140","Quiero saber más")</f>
        <v>Quiero saber más</v>
      </c>
      <c r="J79" s="200"/>
      <c r="K79" s="200"/>
      <c r="L79" s="200"/>
      <c r="M79" s="200"/>
      <c r="N79" s="201"/>
      <c r="O79" s="210"/>
      <c r="P79" s="4"/>
      <c r="Q79" s="4"/>
      <c r="R79" s="4"/>
      <c r="S79" s="4"/>
      <c r="T79" s="4"/>
      <c r="U79" s="4"/>
      <c r="V79" s="4"/>
      <c r="W79" s="4"/>
      <c r="X79" s="4"/>
      <c r="Y79" s="4"/>
      <c r="Z79" s="4"/>
    </row>
    <row r="80" spans="1:26" ht="15.75" customHeight="1">
      <c r="A80" s="17"/>
      <c r="B80" s="104"/>
      <c r="C80" s="105"/>
      <c r="D80" s="106"/>
      <c r="E80" s="109"/>
      <c r="F80" s="112"/>
      <c r="G80" s="58"/>
      <c r="H80" s="58"/>
      <c r="I80" s="58"/>
      <c r="J80" s="58"/>
      <c r="K80" s="58"/>
      <c r="L80" s="58"/>
      <c r="M80" s="58"/>
      <c r="N80" s="58"/>
      <c r="O80" s="53"/>
      <c r="P80" s="4"/>
      <c r="Q80" s="4"/>
      <c r="R80" s="4"/>
      <c r="S80" s="4"/>
      <c r="T80" s="4"/>
      <c r="U80" s="4"/>
      <c r="V80" s="4"/>
      <c r="W80" s="4"/>
      <c r="X80" s="4"/>
      <c r="Y80" s="4"/>
      <c r="Z80" s="4"/>
    </row>
    <row r="81" spans="1:26" ht="15.75" customHeight="1">
      <c r="A81" s="17"/>
      <c r="B81" s="104"/>
      <c r="C81" s="105"/>
      <c r="D81" s="106"/>
      <c r="E81" s="109"/>
      <c r="F81" s="112"/>
      <c r="G81" s="58"/>
      <c r="H81" s="58"/>
      <c r="I81" s="211" t="s">
        <v>27</v>
      </c>
      <c r="J81" s="212"/>
      <c r="K81" s="212"/>
      <c r="L81" s="212"/>
      <c r="M81" s="212"/>
      <c r="N81" s="58"/>
      <c r="O81" s="53"/>
      <c r="P81" s="4"/>
      <c r="Q81" s="4"/>
      <c r="R81" s="4"/>
      <c r="S81" s="4"/>
      <c r="T81" s="4"/>
      <c r="U81" s="4"/>
      <c r="V81" s="4"/>
      <c r="W81" s="4"/>
      <c r="X81" s="4"/>
      <c r="Y81" s="4"/>
      <c r="Z81" s="4"/>
    </row>
    <row r="82" spans="1:26" ht="15.75" customHeight="1">
      <c r="A82" s="17"/>
      <c r="B82" s="104"/>
      <c r="C82" s="105"/>
      <c r="D82" s="106"/>
      <c r="E82" s="109"/>
      <c r="F82" s="112"/>
      <c r="G82" s="58"/>
      <c r="H82" s="58"/>
      <c r="I82" s="213" t="s">
        <v>28</v>
      </c>
      <c r="J82" s="212"/>
      <c r="K82" s="212"/>
      <c r="L82" s="212"/>
      <c r="M82" s="212"/>
      <c r="N82" s="212"/>
      <c r="O82" s="53"/>
      <c r="P82" s="4"/>
      <c r="Q82" s="4"/>
      <c r="R82" s="4"/>
      <c r="S82" s="4"/>
      <c r="T82" s="4"/>
      <c r="U82" s="4"/>
      <c r="V82" s="4"/>
      <c r="W82" s="4"/>
      <c r="X82" s="4"/>
      <c r="Y82" s="4"/>
      <c r="Z82" s="4"/>
    </row>
    <row r="83" spans="1:26" ht="15.75" customHeight="1">
      <c r="A83" s="17"/>
      <c r="B83" s="104"/>
      <c r="C83" s="105"/>
      <c r="D83" s="106"/>
      <c r="E83" s="109"/>
      <c r="F83" s="112"/>
      <c r="G83" s="58"/>
      <c r="H83" s="58"/>
      <c r="I83" s="212"/>
      <c r="J83" s="212"/>
      <c r="K83" s="212"/>
      <c r="L83" s="212"/>
      <c r="M83" s="212"/>
      <c r="N83" s="212"/>
      <c r="O83" s="53"/>
      <c r="P83" s="4"/>
      <c r="Q83" s="4"/>
      <c r="R83" s="4"/>
      <c r="S83" s="4"/>
      <c r="T83" s="4"/>
      <c r="U83" s="4"/>
      <c r="V83" s="4"/>
      <c r="W83" s="4"/>
      <c r="X83" s="4"/>
      <c r="Y83" s="4"/>
      <c r="Z83" s="4"/>
    </row>
    <row r="84" spans="1:26" ht="15.75" customHeight="1">
      <c r="A84" s="17"/>
      <c r="B84" s="104"/>
      <c r="C84" s="105"/>
      <c r="D84" s="106"/>
      <c r="E84" s="109"/>
      <c r="F84" s="112"/>
      <c r="G84" s="58"/>
      <c r="H84" s="58"/>
      <c r="I84" s="212"/>
      <c r="J84" s="212"/>
      <c r="K84" s="212"/>
      <c r="L84" s="212"/>
      <c r="M84" s="212"/>
      <c r="N84" s="212"/>
      <c r="O84" s="53"/>
      <c r="P84" s="4"/>
      <c r="Q84" s="4"/>
      <c r="R84" s="4"/>
      <c r="S84" s="4"/>
      <c r="T84" s="4"/>
      <c r="U84" s="4"/>
      <c r="V84" s="4"/>
      <c r="W84" s="4"/>
      <c r="X84" s="4"/>
      <c r="Y84" s="4"/>
      <c r="Z84" s="4"/>
    </row>
    <row r="85" spans="1:26" ht="15.75" customHeight="1">
      <c r="A85" s="17"/>
      <c r="B85" s="104"/>
      <c r="C85" s="105"/>
      <c r="D85" s="106"/>
      <c r="E85" s="109"/>
      <c r="F85" s="112"/>
      <c r="G85" s="58"/>
      <c r="H85" s="58"/>
      <c r="I85" s="212"/>
      <c r="J85" s="212"/>
      <c r="K85" s="212"/>
      <c r="L85" s="212"/>
      <c r="M85" s="212"/>
      <c r="N85" s="212"/>
      <c r="O85" s="53"/>
      <c r="P85" s="4"/>
      <c r="Q85" s="4"/>
      <c r="R85" s="4"/>
      <c r="S85" s="4"/>
      <c r="T85" s="4"/>
      <c r="U85" s="4"/>
      <c r="V85" s="4"/>
      <c r="W85" s="4"/>
      <c r="X85" s="4"/>
      <c r="Y85" s="4"/>
      <c r="Z85" s="4"/>
    </row>
    <row r="86" spans="1:26" ht="15.75" customHeight="1">
      <c r="A86" s="17"/>
      <c r="B86" s="104"/>
      <c r="C86" s="105"/>
      <c r="D86" s="106"/>
      <c r="E86" s="109"/>
      <c r="F86" s="112"/>
      <c r="G86" s="58"/>
      <c r="H86" s="58"/>
      <c r="I86" s="212"/>
      <c r="J86" s="212"/>
      <c r="K86" s="212"/>
      <c r="L86" s="212"/>
      <c r="M86" s="212"/>
      <c r="N86" s="212"/>
      <c r="O86" s="53"/>
      <c r="P86" s="4"/>
      <c r="Q86" s="4"/>
      <c r="R86" s="4"/>
      <c r="S86" s="4"/>
      <c r="T86" s="4"/>
      <c r="U86" s="4"/>
      <c r="V86" s="4"/>
      <c r="W86" s="4"/>
      <c r="X86" s="4"/>
      <c r="Y86" s="4"/>
      <c r="Z86" s="4"/>
    </row>
    <row r="87" spans="1:26" ht="15.75" customHeight="1">
      <c r="A87" s="17"/>
      <c r="B87" s="104"/>
      <c r="C87" s="105"/>
      <c r="D87" s="106"/>
      <c r="E87" s="109"/>
      <c r="F87" s="112"/>
      <c r="G87" s="58"/>
      <c r="H87" s="58"/>
      <c r="I87" s="212"/>
      <c r="J87" s="212"/>
      <c r="K87" s="212"/>
      <c r="L87" s="212"/>
      <c r="M87" s="212"/>
      <c r="N87" s="212"/>
      <c r="O87" s="53"/>
      <c r="P87" s="4"/>
      <c r="Q87" s="4"/>
      <c r="R87" s="4"/>
      <c r="S87" s="4"/>
      <c r="T87" s="4"/>
      <c r="U87" s="4"/>
      <c r="V87" s="4"/>
      <c r="W87" s="4"/>
      <c r="X87" s="4"/>
      <c r="Y87" s="4"/>
      <c r="Z87" s="4"/>
    </row>
    <row r="88" spans="1:26" ht="15.75" customHeight="1">
      <c r="A88" s="17"/>
      <c r="B88" s="104"/>
      <c r="C88" s="105"/>
      <c r="D88" s="106"/>
      <c r="E88" s="109"/>
      <c r="F88" s="112"/>
      <c r="G88" s="58"/>
      <c r="H88" s="58"/>
      <c r="I88" s="212"/>
      <c r="J88" s="212"/>
      <c r="K88" s="212"/>
      <c r="L88" s="212"/>
      <c r="M88" s="212"/>
      <c r="N88" s="212"/>
      <c r="O88" s="53"/>
      <c r="P88" s="4"/>
      <c r="Q88" s="4"/>
      <c r="R88" s="4"/>
      <c r="S88" s="4"/>
      <c r="T88" s="4"/>
      <c r="U88" s="4"/>
      <c r="V88" s="4"/>
      <c r="W88" s="4"/>
      <c r="X88" s="4"/>
      <c r="Y88" s="4"/>
      <c r="Z88" s="4"/>
    </row>
    <row r="89" spans="1:26" ht="15.75" customHeight="1">
      <c r="A89" s="17"/>
      <c r="B89" s="104"/>
      <c r="C89" s="105"/>
      <c r="D89" s="106"/>
      <c r="E89" s="109"/>
      <c r="F89" s="112"/>
      <c r="G89" s="58"/>
      <c r="H89" s="58"/>
      <c r="I89" s="214" t="s">
        <v>29</v>
      </c>
      <c r="J89" s="212"/>
      <c r="K89" s="212"/>
      <c r="L89" s="212"/>
      <c r="M89" s="212"/>
      <c r="N89" s="212"/>
      <c r="O89" s="53"/>
      <c r="P89" s="4"/>
      <c r="Q89" s="4"/>
      <c r="R89" s="4"/>
      <c r="S89" s="4"/>
      <c r="T89" s="4"/>
      <c r="U89" s="4"/>
      <c r="V89" s="4"/>
      <c r="W89" s="4"/>
      <c r="X89" s="4"/>
      <c r="Y89" s="4"/>
      <c r="Z89" s="4"/>
    </row>
    <row r="90" spans="1:26" ht="15.75" customHeight="1">
      <c r="A90" s="17"/>
      <c r="B90" s="104"/>
      <c r="C90" s="105"/>
      <c r="D90" s="106"/>
      <c r="E90" s="109"/>
      <c r="F90" s="112"/>
      <c r="G90" s="58"/>
      <c r="H90" s="58"/>
      <c r="I90" s="58"/>
      <c r="J90" s="58"/>
      <c r="K90" s="58"/>
      <c r="L90" s="58"/>
      <c r="M90" s="58"/>
      <c r="N90" s="58"/>
      <c r="O90" s="53"/>
      <c r="P90" s="4"/>
      <c r="Q90" s="4"/>
      <c r="R90" s="4"/>
      <c r="S90" s="4"/>
      <c r="T90" s="4"/>
      <c r="U90" s="4"/>
      <c r="V90" s="4"/>
      <c r="W90" s="4"/>
      <c r="X90" s="4"/>
      <c r="Y90" s="4"/>
      <c r="Z90" s="4"/>
    </row>
    <row r="91" spans="1:26" ht="15.75" customHeight="1">
      <c r="A91" s="17"/>
      <c r="B91" s="104"/>
      <c r="C91" s="105"/>
      <c r="D91" s="106"/>
      <c r="E91" s="109"/>
      <c r="F91" s="112"/>
      <c r="G91" s="58"/>
      <c r="H91" s="58"/>
      <c r="I91" s="58"/>
      <c r="J91" s="58"/>
      <c r="K91" s="58"/>
      <c r="L91" s="58"/>
      <c r="M91" s="58"/>
      <c r="N91" s="58"/>
      <c r="O91" s="53"/>
      <c r="P91" s="4"/>
      <c r="Q91" s="4"/>
      <c r="R91" s="4"/>
      <c r="S91" s="4"/>
      <c r="T91" s="4"/>
      <c r="U91" s="4"/>
      <c r="V91" s="4"/>
      <c r="W91" s="4"/>
      <c r="X91" s="4"/>
      <c r="Y91" s="4"/>
      <c r="Z91" s="4"/>
    </row>
    <row r="92" spans="1:26" ht="15.75" customHeight="1">
      <c r="A92" s="17"/>
      <c r="B92" s="104"/>
      <c r="C92" s="105"/>
      <c r="D92" s="106"/>
      <c r="E92" s="109"/>
      <c r="F92" s="112"/>
      <c r="G92" s="58"/>
      <c r="H92" s="58"/>
      <c r="I92" s="58"/>
      <c r="J92" s="58"/>
      <c r="K92" s="58"/>
      <c r="L92" s="58"/>
      <c r="M92" s="58"/>
      <c r="N92" s="58"/>
      <c r="O92" s="53"/>
      <c r="P92" s="4"/>
      <c r="Q92" s="4"/>
      <c r="R92" s="4"/>
      <c r="S92" s="4"/>
      <c r="T92" s="4"/>
      <c r="U92" s="4"/>
      <c r="V92" s="4"/>
      <c r="W92" s="4"/>
      <c r="X92" s="4"/>
      <c r="Y92" s="4"/>
      <c r="Z92" s="4"/>
    </row>
    <row r="93" spans="1:26" ht="15.75" customHeight="1">
      <c r="A93" s="17"/>
      <c r="B93" s="104"/>
      <c r="C93" s="105"/>
      <c r="D93" s="106"/>
      <c r="E93" s="109"/>
      <c r="F93" s="112"/>
      <c r="G93" s="58"/>
      <c r="H93" s="58"/>
      <c r="I93" s="58"/>
      <c r="J93" s="58"/>
      <c r="K93" s="58"/>
      <c r="L93" s="58"/>
      <c r="M93" s="58"/>
      <c r="N93" s="58"/>
      <c r="O93" s="53"/>
      <c r="P93" s="4"/>
      <c r="Q93" s="4"/>
      <c r="R93" s="4"/>
      <c r="S93" s="4"/>
      <c r="T93" s="4"/>
      <c r="U93" s="4"/>
      <c r="V93" s="4"/>
      <c r="W93" s="4"/>
      <c r="X93" s="4"/>
      <c r="Y93" s="4"/>
      <c r="Z93" s="4"/>
    </row>
    <row r="94" spans="1:26" ht="15.75" customHeight="1">
      <c r="A94" s="17"/>
      <c r="B94" s="104"/>
      <c r="C94" s="105"/>
      <c r="D94" s="106"/>
      <c r="E94" s="109"/>
      <c r="F94" s="112"/>
      <c r="G94" s="58"/>
      <c r="H94" s="58"/>
      <c r="I94" s="58"/>
      <c r="J94" s="58"/>
      <c r="K94" s="58"/>
      <c r="L94" s="58"/>
      <c r="M94" s="58"/>
      <c r="N94" s="58"/>
      <c r="O94" s="53"/>
      <c r="P94" s="4"/>
      <c r="Q94" s="4"/>
      <c r="R94" s="4"/>
      <c r="S94" s="4"/>
      <c r="T94" s="4"/>
      <c r="U94" s="4"/>
      <c r="V94" s="4"/>
      <c r="W94" s="4"/>
      <c r="X94" s="4"/>
      <c r="Y94" s="4"/>
      <c r="Z94" s="4"/>
    </row>
    <row r="95" spans="1:26" ht="15.75" customHeight="1">
      <c r="A95" s="17"/>
      <c r="B95" s="104"/>
      <c r="C95" s="105"/>
      <c r="D95" s="106"/>
      <c r="E95" s="109"/>
      <c r="F95" s="112"/>
      <c r="G95" s="58"/>
      <c r="H95" s="58"/>
      <c r="I95" s="58"/>
      <c r="J95" s="58"/>
      <c r="K95" s="58"/>
      <c r="L95" s="58"/>
      <c r="M95" s="58"/>
      <c r="N95" s="58"/>
      <c r="O95" s="53"/>
      <c r="P95" s="4"/>
      <c r="Q95" s="4"/>
      <c r="R95" s="4"/>
      <c r="S95" s="4"/>
      <c r="T95" s="4"/>
      <c r="U95" s="4"/>
      <c r="V95" s="4"/>
      <c r="W95" s="4"/>
      <c r="X95" s="4"/>
      <c r="Y95" s="4"/>
      <c r="Z95" s="4"/>
    </row>
    <row r="96" spans="1:26" ht="15.75" customHeight="1">
      <c r="A96" s="17"/>
      <c r="B96" s="104"/>
      <c r="C96" s="105"/>
      <c r="D96" s="106"/>
      <c r="E96" s="109"/>
      <c r="F96" s="112"/>
      <c r="G96" s="58"/>
      <c r="H96" s="58"/>
      <c r="I96" s="58"/>
      <c r="J96" s="58"/>
      <c r="K96" s="58"/>
      <c r="L96" s="58"/>
      <c r="M96" s="58"/>
      <c r="N96" s="58"/>
      <c r="O96" s="53"/>
      <c r="P96" s="4"/>
      <c r="Q96" s="4"/>
      <c r="R96" s="4"/>
      <c r="S96" s="4"/>
      <c r="T96" s="4"/>
      <c r="U96" s="4"/>
      <c r="V96" s="4"/>
      <c r="W96" s="4"/>
      <c r="X96" s="4"/>
      <c r="Y96" s="4"/>
      <c r="Z96" s="4"/>
    </row>
    <row r="97" spans="1:26" ht="15.75" customHeight="1">
      <c r="A97" s="17"/>
      <c r="B97" s="104"/>
      <c r="C97" s="105"/>
      <c r="D97" s="106"/>
      <c r="E97" s="109"/>
      <c r="F97" s="112"/>
      <c r="G97" s="58"/>
      <c r="H97" s="58"/>
      <c r="I97" s="58"/>
      <c r="J97" s="58"/>
      <c r="K97" s="58"/>
      <c r="L97" s="58"/>
      <c r="M97" s="58"/>
      <c r="N97" s="58"/>
      <c r="O97" s="53"/>
      <c r="P97" s="4"/>
      <c r="Q97" s="4"/>
      <c r="R97" s="4"/>
      <c r="S97" s="4"/>
      <c r="T97" s="4"/>
      <c r="U97" s="4"/>
      <c r="V97" s="4"/>
      <c r="W97" s="4"/>
      <c r="X97" s="4"/>
      <c r="Y97" s="4"/>
      <c r="Z97" s="4"/>
    </row>
    <row r="98" spans="1:26" ht="15.75" customHeight="1">
      <c r="A98" s="17"/>
      <c r="B98" s="104"/>
      <c r="C98" s="105"/>
      <c r="D98" s="106"/>
      <c r="E98" s="109"/>
      <c r="F98" s="112"/>
      <c r="G98" s="58"/>
      <c r="H98" s="58"/>
      <c r="I98" s="58"/>
      <c r="J98" s="58"/>
      <c r="K98" s="58"/>
      <c r="L98" s="58"/>
      <c r="M98" s="58"/>
      <c r="N98" s="58"/>
      <c r="O98" s="53"/>
      <c r="P98" s="4"/>
      <c r="Q98" s="4"/>
      <c r="R98" s="4"/>
      <c r="S98" s="4"/>
      <c r="T98" s="4"/>
      <c r="U98" s="4"/>
      <c r="V98" s="4"/>
      <c r="W98" s="4"/>
      <c r="X98" s="4"/>
      <c r="Y98" s="4"/>
      <c r="Z98" s="4"/>
    </row>
    <row r="99" spans="1:26" ht="15.75" customHeight="1">
      <c r="A99" s="17"/>
      <c r="B99" s="104"/>
      <c r="C99" s="105"/>
      <c r="D99" s="106"/>
      <c r="E99" s="109"/>
      <c r="F99" s="112"/>
      <c r="G99" s="58"/>
      <c r="H99" s="58"/>
      <c r="I99" s="58"/>
      <c r="J99" s="58"/>
      <c r="K99" s="58"/>
      <c r="L99" s="58"/>
      <c r="M99" s="58"/>
      <c r="N99" s="58"/>
      <c r="O99" s="53"/>
      <c r="P99" s="4"/>
      <c r="Q99" s="4"/>
      <c r="R99" s="4"/>
      <c r="S99" s="4"/>
      <c r="T99" s="4"/>
      <c r="U99" s="4"/>
      <c r="V99" s="4"/>
      <c r="W99" s="4"/>
      <c r="X99" s="4"/>
      <c r="Y99" s="4"/>
      <c r="Z99" s="4"/>
    </row>
    <row r="100" spans="1:26" ht="15.75" customHeight="1">
      <c r="A100" s="17"/>
      <c r="B100" s="104"/>
      <c r="C100" s="105"/>
      <c r="D100" s="106"/>
      <c r="E100" s="109"/>
      <c r="F100" s="112"/>
      <c r="G100" s="58"/>
      <c r="H100" s="58"/>
      <c r="I100" s="58"/>
      <c r="J100" s="58"/>
      <c r="K100" s="58"/>
      <c r="L100" s="58"/>
      <c r="M100" s="58"/>
      <c r="N100" s="58"/>
      <c r="O100" s="53"/>
      <c r="P100" s="4"/>
      <c r="Q100" s="4"/>
      <c r="R100" s="4"/>
      <c r="S100" s="4"/>
      <c r="T100" s="4"/>
      <c r="U100" s="4"/>
      <c r="V100" s="4"/>
      <c r="W100" s="4"/>
      <c r="X100" s="4"/>
      <c r="Y100" s="4"/>
      <c r="Z100" s="4"/>
    </row>
    <row r="101" spans="1:26" ht="15.75" customHeight="1">
      <c r="A101" s="17"/>
      <c r="B101" s="104"/>
      <c r="C101" s="105"/>
      <c r="D101" s="106"/>
      <c r="E101" s="109"/>
      <c r="F101" s="112"/>
      <c r="G101" s="58"/>
      <c r="H101" s="58"/>
      <c r="I101" s="58"/>
      <c r="J101" s="58"/>
      <c r="K101" s="58"/>
      <c r="L101" s="58"/>
      <c r="M101" s="58"/>
      <c r="N101" s="58"/>
      <c r="O101" s="53"/>
      <c r="P101" s="4"/>
      <c r="Q101" s="4"/>
      <c r="R101" s="4"/>
      <c r="S101" s="4"/>
      <c r="T101" s="4"/>
      <c r="U101" s="4"/>
      <c r="V101" s="4"/>
      <c r="W101" s="4"/>
      <c r="X101" s="4"/>
      <c r="Y101" s="4"/>
      <c r="Z101" s="4"/>
    </row>
    <row r="102" spans="1:26" ht="15.75" customHeight="1">
      <c r="A102" s="17"/>
      <c r="B102" s="104"/>
      <c r="C102" s="105"/>
      <c r="D102" s="106"/>
      <c r="E102" s="110"/>
      <c r="F102" s="113"/>
      <c r="G102" s="58"/>
      <c r="H102" s="58"/>
      <c r="I102" s="58"/>
      <c r="J102" s="58"/>
      <c r="K102" s="58"/>
      <c r="L102" s="58"/>
      <c r="M102" s="58"/>
      <c r="N102" s="58"/>
      <c r="O102" s="53"/>
      <c r="P102" s="4"/>
      <c r="Q102" s="4"/>
      <c r="R102" s="4"/>
      <c r="S102" s="4"/>
      <c r="T102" s="4"/>
      <c r="U102" s="4"/>
      <c r="V102" s="4"/>
      <c r="W102" s="4"/>
      <c r="X102" s="4"/>
      <c r="Y102" s="4"/>
      <c r="Z102" s="4"/>
    </row>
    <row r="103" spans="1:26" ht="13.5" customHeight="1">
      <c r="A103" s="59"/>
      <c r="B103" s="107"/>
      <c r="C103" s="105"/>
      <c r="D103" s="106"/>
      <c r="E103" s="108"/>
      <c r="F103" s="111"/>
      <c r="G103" s="60"/>
      <c r="H103" s="60"/>
      <c r="I103" s="60"/>
      <c r="J103" s="60"/>
      <c r="K103" s="60"/>
      <c r="L103" s="60"/>
      <c r="M103" s="60"/>
      <c r="N103" s="60"/>
      <c r="O103" s="61"/>
      <c r="P103" s="62"/>
      <c r="Q103" s="62"/>
      <c r="R103" s="62"/>
      <c r="S103" s="62"/>
      <c r="T103" s="62"/>
      <c r="U103" s="62"/>
      <c r="V103" s="62"/>
      <c r="W103" s="62"/>
      <c r="X103" s="62"/>
      <c r="Y103" s="62"/>
      <c r="Z103" s="62"/>
    </row>
    <row r="104" spans="1:26" ht="15.75" customHeight="1">
      <c r="A104" s="59"/>
      <c r="B104" s="107"/>
      <c r="C104" s="105"/>
      <c r="D104" s="106"/>
      <c r="E104" s="109"/>
      <c r="F104" s="112"/>
      <c r="G104" s="60"/>
      <c r="H104" s="60"/>
      <c r="I104" s="60"/>
      <c r="J104" s="60"/>
      <c r="K104" s="60"/>
      <c r="L104" s="60"/>
      <c r="M104" s="60"/>
      <c r="N104" s="60"/>
      <c r="O104" s="61"/>
      <c r="P104" s="62"/>
      <c r="Q104" s="62"/>
      <c r="R104" s="62"/>
      <c r="S104" s="62"/>
      <c r="T104" s="62"/>
      <c r="U104" s="62"/>
      <c r="V104" s="62"/>
      <c r="W104" s="62"/>
      <c r="X104" s="62"/>
      <c r="Y104" s="62"/>
      <c r="Z104" s="62"/>
    </row>
    <row r="105" spans="1:26" ht="15.75" customHeight="1">
      <c r="A105" s="59"/>
      <c r="B105" s="107"/>
      <c r="C105" s="105"/>
      <c r="D105" s="106"/>
      <c r="E105" s="109"/>
      <c r="F105" s="112"/>
      <c r="G105" s="60"/>
      <c r="H105" s="60"/>
      <c r="I105" s="60"/>
      <c r="J105" s="60"/>
      <c r="K105" s="60"/>
      <c r="L105" s="60"/>
      <c r="M105" s="60"/>
      <c r="N105" s="60"/>
      <c r="O105" s="61"/>
      <c r="P105" s="62"/>
      <c r="Q105" s="62"/>
      <c r="R105" s="62"/>
      <c r="S105" s="62"/>
      <c r="T105" s="62"/>
      <c r="U105" s="62"/>
      <c r="V105" s="62"/>
      <c r="W105" s="62"/>
      <c r="X105" s="62"/>
      <c r="Y105" s="62"/>
      <c r="Z105" s="62"/>
    </row>
    <row r="106" spans="1:26" ht="15.75" customHeight="1">
      <c r="A106" s="59"/>
      <c r="B106" s="107"/>
      <c r="C106" s="105"/>
      <c r="D106" s="106"/>
      <c r="E106" s="109"/>
      <c r="F106" s="112"/>
      <c r="G106" s="60"/>
      <c r="H106" s="60"/>
      <c r="I106" s="60"/>
      <c r="J106" s="60"/>
      <c r="K106" s="60"/>
      <c r="L106" s="60"/>
      <c r="M106" s="60"/>
      <c r="N106" s="60"/>
      <c r="O106" s="61"/>
      <c r="P106" s="62"/>
      <c r="Q106" s="62"/>
      <c r="R106" s="62"/>
      <c r="S106" s="62"/>
      <c r="T106" s="62"/>
      <c r="U106" s="62"/>
      <c r="V106" s="62"/>
      <c r="W106" s="62"/>
      <c r="X106" s="62"/>
      <c r="Y106" s="62"/>
      <c r="Z106" s="62"/>
    </row>
    <row r="107" spans="1:26" ht="15.75" customHeight="1">
      <c r="A107" s="59"/>
      <c r="B107" s="107"/>
      <c r="C107" s="105"/>
      <c r="D107" s="106"/>
      <c r="E107" s="109"/>
      <c r="F107" s="112"/>
      <c r="G107" s="60"/>
      <c r="H107" s="60"/>
      <c r="I107" s="60"/>
      <c r="J107" s="60"/>
      <c r="K107" s="60"/>
      <c r="L107" s="60"/>
      <c r="M107" s="60"/>
      <c r="N107" s="60"/>
      <c r="O107" s="61"/>
      <c r="P107" s="62"/>
      <c r="Q107" s="62"/>
      <c r="R107" s="62"/>
      <c r="S107" s="62"/>
      <c r="T107" s="62"/>
      <c r="U107" s="62"/>
      <c r="V107" s="62"/>
      <c r="W107" s="62"/>
      <c r="X107" s="62"/>
      <c r="Y107" s="62"/>
      <c r="Z107" s="62"/>
    </row>
    <row r="108" spans="1:26" ht="15.75" customHeight="1">
      <c r="A108" s="59"/>
      <c r="B108" s="107"/>
      <c r="C108" s="105"/>
      <c r="D108" s="106"/>
      <c r="E108" s="109"/>
      <c r="F108" s="112"/>
      <c r="G108" s="60"/>
      <c r="H108" s="60"/>
      <c r="I108" s="60"/>
      <c r="J108" s="60"/>
      <c r="K108" s="60"/>
      <c r="L108" s="60"/>
      <c r="M108" s="60"/>
      <c r="N108" s="60"/>
      <c r="O108" s="61"/>
      <c r="P108" s="62"/>
      <c r="Q108" s="62"/>
      <c r="R108" s="62"/>
      <c r="S108" s="62"/>
      <c r="T108" s="62"/>
      <c r="U108" s="62"/>
      <c r="V108" s="62"/>
      <c r="W108" s="62"/>
      <c r="X108" s="62"/>
      <c r="Y108" s="62"/>
      <c r="Z108" s="62"/>
    </row>
    <row r="109" spans="1:26" ht="15.75" customHeight="1">
      <c r="A109" s="59"/>
      <c r="B109" s="107"/>
      <c r="C109" s="105"/>
      <c r="D109" s="106"/>
      <c r="E109" s="109"/>
      <c r="F109" s="112"/>
      <c r="G109" s="60"/>
      <c r="H109" s="60"/>
      <c r="I109" s="60"/>
      <c r="J109" s="60"/>
      <c r="K109" s="60"/>
      <c r="L109" s="60"/>
      <c r="M109" s="60"/>
      <c r="N109" s="60"/>
      <c r="O109" s="61"/>
      <c r="P109" s="62"/>
      <c r="Q109" s="62"/>
      <c r="R109" s="62"/>
      <c r="S109" s="62"/>
      <c r="T109" s="62"/>
      <c r="U109" s="62"/>
      <c r="V109" s="62"/>
      <c r="W109" s="62"/>
      <c r="X109" s="62"/>
      <c r="Y109" s="62"/>
      <c r="Z109" s="62"/>
    </row>
    <row r="110" spans="1:26" ht="15.75" customHeight="1">
      <c r="A110" s="59"/>
      <c r="B110" s="107"/>
      <c r="C110" s="105"/>
      <c r="D110" s="106"/>
      <c r="E110" s="109"/>
      <c r="F110" s="112"/>
      <c r="G110" s="60"/>
      <c r="H110" s="60"/>
      <c r="I110" s="60"/>
      <c r="J110" s="60"/>
      <c r="K110" s="60"/>
      <c r="L110" s="60"/>
      <c r="M110" s="60"/>
      <c r="N110" s="60"/>
      <c r="O110" s="61"/>
      <c r="P110" s="62"/>
      <c r="Q110" s="62"/>
      <c r="R110" s="62"/>
      <c r="S110" s="62"/>
      <c r="T110" s="62"/>
      <c r="U110" s="62"/>
      <c r="V110" s="62"/>
      <c r="W110" s="62"/>
      <c r="X110" s="62"/>
      <c r="Y110" s="62"/>
      <c r="Z110" s="62"/>
    </row>
    <row r="111" spans="1:26" ht="15.75" customHeight="1">
      <c r="A111" s="59"/>
      <c r="B111" s="107"/>
      <c r="C111" s="105"/>
      <c r="D111" s="106"/>
      <c r="E111" s="109"/>
      <c r="F111" s="112"/>
      <c r="G111" s="60"/>
      <c r="H111" s="60"/>
      <c r="I111" s="60"/>
      <c r="J111" s="60"/>
      <c r="K111" s="60"/>
      <c r="L111" s="60"/>
      <c r="M111" s="60"/>
      <c r="N111" s="60"/>
      <c r="O111" s="61"/>
      <c r="P111" s="62"/>
      <c r="Q111" s="62"/>
      <c r="R111" s="62"/>
      <c r="S111" s="62"/>
      <c r="T111" s="62"/>
      <c r="U111" s="62"/>
      <c r="V111" s="62"/>
      <c r="W111" s="62"/>
      <c r="X111" s="62"/>
      <c r="Y111" s="62"/>
      <c r="Z111" s="62"/>
    </row>
    <row r="112" spans="1:26" ht="15.75" customHeight="1">
      <c r="A112" s="59"/>
      <c r="B112" s="107"/>
      <c r="C112" s="105"/>
      <c r="D112" s="106"/>
      <c r="E112" s="109"/>
      <c r="F112" s="112"/>
      <c r="G112" s="60"/>
      <c r="H112" s="60"/>
      <c r="I112" s="60"/>
      <c r="J112" s="60"/>
      <c r="K112" s="60"/>
      <c r="L112" s="60"/>
      <c r="M112" s="60"/>
      <c r="N112" s="60"/>
      <c r="O112" s="61"/>
      <c r="P112" s="62"/>
      <c r="Q112" s="62"/>
      <c r="R112" s="62"/>
      <c r="S112" s="62"/>
      <c r="T112" s="62"/>
      <c r="U112" s="62"/>
      <c r="V112" s="62"/>
      <c r="W112" s="62"/>
      <c r="X112" s="62"/>
      <c r="Y112" s="62"/>
      <c r="Z112" s="62"/>
    </row>
    <row r="113" spans="1:26" ht="15.75" customHeight="1">
      <c r="A113" s="59"/>
      <c r="B113" s="107"/>
      <c r="C113" s="105"/>
      <c r="D113" s="106"/>
      <c r="E113" s="109"/>
      <c r="F113" s="112"/>
      <c r="G113" s="60"/>
      <c r="H113" s="60"/>
      <c r="I113" s="60"/>
      <c r="J113" s="60"/>
      <c r="K113" s="60"/>
      <c r="L113" s="60"/>
      <c r="M113" s="60"/>
      <c r="N113" s="60"/>
      <c r="O113" s="61"/>
      <c r="P113" s="62"/>
      <c r="Q113" s="62"/>
      <c r="R113" s="62"/>
      <c r="S113" s="62"/>
      <c r="T113" s="62"/>
      <c r="U113" s="62"/>
      <c r="V113" s="62"/>
      <c r="W113" s="62"/>
      <c r="X113" s="62"/>
      <c r="Y113" s="62"/>
      <c r="Z113" s="62"/>
    </row>
    <row r="114" spans="1:26" ht="15.75" customHeight="1">
      <c r="A114" s="59"/>
      <c r="B114" s="107"/>
      <c r="C114" s="105"/>
      <c r="D114" s="106"/>
      <c r="E114" s="109"/>
      <c r="F114" s="112"/>
      <c r="G114" s="60"/>
      <c r="H114" s="60"/>
      <c r="I114" s="60"/>
      <c r="J114" s="60"/>
      <c r="K114" s="60"/>
      <c r="L114" s="60"/>
      <c r="M114" s="60"/>
      <c r="N114" s="60"/>
      <c r="O114" s="61"/>
      <c r="P114" s="62"/>
      <c r="Q114" s="62"/>
      <c r="R114" s="62"/>
      <c r="S114" s="62"/>
      <c r="T114" s="62"/>
      <c r="U114" s="62"/>
      <c r="V114" s="62"/>
      <c r="W114" s="62"/>
      <c r="X114" s="62"/>
      <c r="Y114" s="62"/>
      <c r="Z114" s="62"/>
    </row>
    <row r="115" spans="1:26" ht="15.75" customHeight="1">
      <c r="A115" s="59"/>
      <c r="B115" s="107"/>
      <c r="C115" s="105"/>
      <c r="D115" s="106"/>
      <c r="E115" s="109"/>
      <c r="F115" s="112"/>
      <c r="G115" s="60"/>
      <c r="H115" s="60"/>
      <c r="I115" s="60"/>
      <c r="J115" s="60"/>
      <c r="K115" s="60"/>
      <c r="L115" s="60"/>
      <c r="M115" s="60"/>
      <c r="N115" s="60"/>
      <c r="O115" s="61"/>
      <c r="P115" s="62"/>
      <c r="Q115" s="62"/>
      <c r="R115" s="62"/>
      <c r="S115" s="62"/>
      <c r="T115" s="62"/>
      <c r="U115" s="62"/>
      <c r="V115" s="62"/>
      <c r="W115" s="62"/>
      <c r="X115" s="62"/>
      <c r="Y115" s="62"/>
      <c r="Z115" s="62"/>
    </row>
    <row r="116" spans="1:26" ht="15.75" customHeight="1">
      <c r="A116" s="59"/>
      <c r="B116" s="107"/>
      <c r="C116" s="105"/>
      <c r="D116" s="106"/>
      <c r="E116" s="109"/>
      <c r="F116" s="112"/>
      <c r="G116" s="60"/>
      <c r="H116" s="60"/>
      <c r="I116" s="60"/>
      <c r="J116" s="60"/>
      <c r="K116" s="60"/>
      <c r="L116" s="60"/>
      <c r="M116" s="60"/>
      <c r="N116" s="60"/>
      <c r="O116" s="61"/>
      <c r="P116" s="62"/>
      <c r="Q116" s="62"/>
      <c r="R116" s="62"/>
      <c r="S116" s="62"/>
      <c r="T116" s="62"/>
      <c r="U116" s="62"/>
      <c r="V116" s="62"/>
      <c r="W116" s="62"/>
      <c r="X116" s="62"/>
      <c r="Y116" s="62"/>
      <c r="Z116" s="62"/>
    </row>
    <row r="117" spans="1:26" ht="15.75" customHeight="1">
      <c r="A117" s="59"/>
      <c r="B117" s="107"/>
      <c r="C117" s="105"/>
      <c r="D117" s="106"/>
      <c r="E117" s="109"/>
      <c r="F117" s="112"/>
      <c r="G117" s="60"/>
      <c r="H117" s="60"/>
      <c r="I117" s="60"/>
      <c r="J117" s="60"/>
      <c r="K117" s="60"/>
      <c r="L117" s="60"/>
      <c r="M117" s="60"/>
      <c r="N117" s="60"/>
      <c r="O117" s="61"/>
      <c r="P117" s="62"/>
      <c r="Q117" s="62"/>
      <c r="R117" s="62"/>
      <c r="S117" s="62"/>
      <c r="T117" s="62"/>
      <c r="U117" s="62"/>
      <c r="V117" s="62"/>
      <c r="W117" s="62"/>
      <c r="X117" s="62"/>
      <c r="Y117" s="62"/>
      <c r="Z117" s="62"/>
    </row>
    <row r="118" spans="1:26" ht="15.75" customHeight="1">
      <c r="A118" s="59"/>
      <c r="B118" s="107"/>
      <c r="C118" s="105"/>
      <c r="D118" s="106"/>
      <c r="E118" s="109"/>
      <c r="F118" s="112"/>
      <c r="G118" s="60"/>
      <c r="H118" s="60"/>
      <c r="I118" s="60"/>
      <c r="J118" s="60"/>
      <c r="K118" s="60"/>
      <c r="L118" s="60"/>
      <c r="M118" s="60"/>
      <c r="N118" s="60"/>
      <c r="O118" s="61"/>
      <c r="P118" s="62"/>
      <c r="Q118" s="62"/>
      <c r="R118" s="62"/>
      <c r="S118" s="62"/>
      <c r="T118" s="62"/>
      <c r="U118" s="62"/>
      <c r="V118" s="62"/>
      <c r="W118" s="62"/>
      <c r="X118" s="62"/>
      <c r="Y118" s="62"/>
      <c r="Z118" s="62"/>
    </row>
    <row r="119" spans="1:26" ht="15.75" customHeight="1">
      <c r="A119" s="59"/>
      <c r="B119" s="107"/>
      <c r="C119" s="105"/>
      <c r="D119" s="106"/>
      <c r="E119" s="109"/>
      <c r="F119" s="112"/>
      <c r="G119" s="60"/>
      <c r="H119" s="60"/>
      <c r="I119" s="60"/>
      <c r="J119" s="60"/>
      <c r="K119" s="60"/>
      <c r="L119" s="60"/>
      <c r="M119" s="60"/>
      <c r="N119" s="60"/>
      <c r="O119" s="61"/>
      <c r="P119" s="62"/>
      <c r="Q119" s="62"/>
      <c r="R119" s="62"/>
      <c r="S119" s="62"/>
      <c r="T119" s="62"/>
      <c r="U119" s="62"/>
      <c r="V119" s="62"/>
      <c r="W119" s="62"/>
      <c r="X119" s="62"/>
      <c r="Y119" s="62"/>
      <c r="Z119" s="62"/>
    </row>
    <row r="120" spans="1:26" ht="15.75" customHeight="1">
      <c r="A120" s="59"/>
      <c r="B120" s="107"/>
      <c r="C120" s="105"/>
      <c r="D120" s="106"/>
      <c r="E120" s="109"/>
      <c r="F120" s="112"/>
      <c r="G120" s="60"/>
      <c r="H120" s="60"/>
      <c r="I120" s="60"/>
      <c r="J120" s="60"/>
      <c r="K120" s="60"/>
      <c r="L120" s="60"/>
      <c r="M120" s="60"/>
      <c r="N120" s="60"/>
      <c r="O120" s="61"/>
      <c r="P120" s="62"/>
      <c r="Q120" s="62"/>
      <c r="R120" s="62"/>
      <c r="S120" s="62"/>
      <c r="T120" s="62"/>
      <c r="U120" s="62"/>
      <c r="V120" s="62"/>
      <c r="W120" s="62"/>
      <c r="X120" s="62"/>
      <c r="Y120" s="62"/>
      <c r="Z120" s="62"/>
    </row>
    <row r="121" spans="1:26" ht="15.75" customHeight="1">
      <c r="A121" s="59"/>
      <c r="B121" s="107"/>
      <c r="C121" s="105"/>
      <c r="D121" s="106"/>
      <c r="E121" s="109"/>
      <c r="F121" s="112"/>
      <c r="G121" s="60"/>
      <c r="H121" s="60"/>
      <c r="I121" s="60"/>
      <c r="J121" s="60"/>
      <c r="K121" s="60"/>
      <c r="L121" s="60"/>
      <c r="M121" s="60"/>
      <c r="N121" s="60"/>
      <c r="O121" s="61"/>
      <c r="P121" s="62"/>
      <c r="Q121" s="62"/>
      <c r="R121" s="62"/>
      <c r="S121" s="62"/>
      <c r="T121" s="62"/>
      <c r="U121" s="62"/>
      <c r="V121" s="62"/>
      <c r="W121" s="62"/>
      <c r="X121" s="62"/>
      <c r="Y121" s="62"/>
      <c r="Z121" s="62"/>
    </row>
    <row r="122" spans="1:26" ht="15.75" customHeight="1">
      <c r="A122" s="59"/>
      <c r="B122" s="107"/>
      <c r="C122" s="105"/>
      <c r="D122" s="106"/>
      <c r="E122" s="109"/>
      <c r="F122" s="112"/>
      <c r="G122" s="60"/>
      <c r="H122" s="60"/>
      <c r="I122" s="60"/>
      <c r="J122" s="60"/>
      <c r="K122" s="60"/>
      <c r="L122" s="60"/>
      <c r="M122" s="60"/>
      <c r="N122" s="60"/>
      <c r="O122" s="61"/>
      <c r="P122" s="62"/>
      <c r="Q122" s="62"/>
      <c r="R122" s="62"/>
      <c r="S122" s="62"/>
      <c r="T122" s="62"/>
      <c r="U122" s="62"/>
      <c r="V122" s="62"/>
      <c r="W122" s="62"/>
      <c r="X122" s="62"/>
      <c r="Y122" s="62"/>
      <c r="Z122" s="62"/>
    </row>
    <row r="123" spans="1:26" ht="15.75" customHeight="1">
      <c r="A123" s="59"/>
      <c r="B123" s="107"/>
      <c r="C123" s="105"/>
      <c r="D123" s="106"/>
      <c r="E123" s="109"/>
      <c r="F123" s="112"/>
      <c r="G123" s="60"/>
      <c r="H123" s="60"/>
      <c r="I123" s="60"/>
      <c r="J123" s="60"/>
      <c r="K123" s="60"/>
      <c r="L123" s="60"/>
      <c r="M123" s="60"/>
      <c r="N123" s="60"/>
      <c r="O123" s="61"/>
      <c r="P123" s="62"/>
      <c r="Q123" s="62"/>
      <c r="R123" s="62"/>
      <c r="S123" s="62"/>
      <c r="T123" s="62"/>
      <c r="U123" s="62"/>
      <c r="V123" s="62"/>
      <c r="W123" s="62"/>
      <c r="X123" s="62"/>
      <c r="Y123" s="62"/>
      <c r="Z123" s="62"/>
    </row>
    <row r="124" spans="1:26" ht="15.75" customHeight="1">
      <c r="A124" s="59"/>
      <c r="B124" s="107"/>
      <c r="C124" s="105"/>
      <c r="D124" s="106"/>
      <c r="E124" s="109"/>
      <c r="F124" s="112"/>
      <c r="G124" s="60"/>
      <c r="H124" s="60"/>
      <c r="I124" s="60"/>
      <c r="J124" s="60"/>
      <c r="K124" s="60"/>
      <c r="L124" s="60"/>
      <c r="M124" s="60"/>
      <c r="N124" s="60"/>
      <c r="O124" s="61"/>
      <c r="P124" s="62"/>
      <c r="Q124" s="62"/>
      <c r="R124" s="62"/>
      <c r="S124" s="62"/>
      <c r="T124" s="62"/>
      <c r="U124" s="62"/>
      <c r="V124" s="62"/>
      <c r="W124" s="62"/>
      <c r="X124" s="62"/>
      <c r="Y124" s="62"/>
      <c r="Z124" s="62"/>
    </row>
    <row r="125" spans="1:26" ht="15.75" customHeight="1">
      <c r="A125" s="59"/>
      <c r="B125" s="107"/>
      <c r="C125" s="105"/>
      <c r="D125" s="106"/>
      <c r="E125" s="110"/>
      <c r="F125" s="113"/>
      <c r="G125" s="60"/>
      <c r="H125" s="60"/>
      <c r="I125" s="60"/>
      <c r="J125" s="60"/>
      <c r="K125" s="60"/>
      <c r="L125" s="60"/>
      <c r="M125" s="60"/>
      <c r="N125" s="60"/>
      <c r="O125" s="61"/>
      <c r="P125" s="62"/>
      <c r="Q125" s="62"/>
      <c r="R125" s="62"/>
      <c r="S125" s="62"/>
      <c r="T125" s="62"/>
      <c r="U125" s="62"/>
      <c r="V125" s="62"/>
      <c r="W125" s="62"/>
      <c r="X125" s="62"/>
      <c r="Y125" s="62"/>
      <c r="Z125" s="62"/>
    </row>
    <row r="126" spans="1:26" ht="15.75" customHeight="1">
      <c r="A126" s="59"/>
      <c r="B126" s="107"/>
      <c r="C126" s="105"/>
      <c r="D126" s="106"/>
      <c r="E126" s="108"/>
      <c r="F126" s="111"/>
      <c r="G126" s="60"/>
      <c r="H126" s="60"/>
      <c r="I126" s="60"/>
      <c r="J126" s="60"/>
      <c r="K126" s="60"/>
      <c r="L126" s="60"/>
      <c r="M126" s="60"/>
      <c r="N126" s="60"/>
      <c r="O126" s="61"/>
      <c r="P126" s="62"/>
      <c r="Q126" s="62"/>
      <c r="R126" s="62"/>
      <c r="S126" s="62"/>
      <c r="T126" s="62"/>
      <c r="U126" s="62"/>
      <c r="V126" s="62"/>
      <c r="W126" s="62"/>
      <c r="X126" s="62"/>
      <c r="Y126" s="62"/>
      <c r="Z126" s="62"/>
    </row>
    <row r="127" spans="1:26" ht="15.75" customHeight="1">
      <c r="A127" s="59"/>
      <c r="B127" s="107"/>
      <c r="C127" s="105"/>
      <c r="D127" s="106"/>
      <c r="E127" s="109"/>
      <c r="F127" s="112"/>
      <c r="G127" s="60"/>
      <c r="H127" s="60"/>
      <c r="I127" s="60"/>
      <c r="J127" s="60"/>
      <c r="K127" s="60"/>
      <c r="L127" s="60"/>
      <c r="M127" s="60"/>
      <c r="N127" s="60"/>
      <c r="O127" s="61"/>
      <c r="P127" s="62"/>
      <c r="Q127" s="62"/>
      <c r="R127" s="62"/>
      <c r="S127" s="62"/>
      <c r="T127" s="62"/>
      <c r="U127" s="62"/>
      <c r="V127" s="62"/>
      <c r="W127" s="62"/>
      <c r="X127" s="62"/>
      <c r="Y127" s="62"/>
      <c r="Z127" s="62"/>
    </row>
    <row r="128" spans="1:26" ht="15.75" customHeight="1">
      <c r="A128" s="59"/>
      <c r="B128" s="107"/>
      <c r="C128" s="105"/>
      <c r="D128" s="106"/>
      <c r="E128" s="109"/>
      <c r="F128" s="112"/>
      <c r="G128" s="60"/>
      <c r="H128" s="60"/>
      <c r="I128" s="60"/>
      <c r="J128" s="60"/>
      <c r="K128" s="60"/>
      <c r="L128" s="60"/>
      <c r="M128" s="60"/>
      <c r="N128" s="60"/>
      <c r="O128" s="61"/>
      <c r="P128" s="62"/>
      <c r="Q128" s="62"/>
      <c r="R128" s="62"/>
      <c r="S128" s="62"/>
      <c r="T128" s="62"/>
      <c r="U128" s="62"/>
      <c r="V128" s="62"/>
      <c r="W128" s="62"/>
      <c r="X128" s="62"/>
      <c r="Y128" s="62"/>
      <c r="Z128" s="62"/>
    </row>
    <row r="129" spans="1:26" ht="15.75" customHeight="1">
      <c r="A129" s="59"/>
      <c r="B129" s="107"/>
      <c r="C129" s="105"/>
      <c r="D129" s="106"/>
      <c r="E129" s="109"/>
      <c r="F129" s="112"/>
      <c r="G129" s="60"/>
      <c r="H129" s="60"/>
      <c r="I129" s="60"/>
      <c r="J129" s="60"/>
      <c r="K129" s="60"/>
      <c r="L129" s="60"/>
      <c r="M129" s="60"/>
      <c r="N129" s="60"/>
      <c r="O129" s="61"/>
      <c r="P129" s="62"/>
      <c r="Q129" s="62"/>
      <c r="R129" s="62"/>
      <c r="S129" s="62"/>
      <c r="T129" s="62"/>
      <c r="U129" s="62"/>
      <c r="V129" s="62"/>
      <c r="W129" s="62"/>
      <c r="X129" s="62"/>
      <c r="Y129" s="62"/>
      <c r="Z129" s="62"/>
    </row>
    <row r="130" spans="1:26" ht="15.75" customHeight="1">
      <c r="A130" s="59"/>
      <c r="B130" s="107"/>
      <c r="C130" s="105"/>
      <c r="D130" s="106"/>
      <c r="E130" s="109"/>
      <c r="F130" s="112"/>
      <c r="G130" s="60"/>
      <c r="H130" s="60"/>
      <c r="I130" s="60"/>
      <c r="J130" s="60"/>
      <c r="K130" s="60"/>
      <c r="L130" s="60"/>
      <c r="M130" s="60"/>
      <c r="N130" s="60"/>
      <c r="O130" s="61"/>
      <c r="P130" s="62"/>
      <c r="Q130" s="62"/>
      <c r="R130" s="62"/>
      <c r="S130" s="62"/>
      <c r="T130" s="62"/>
      <c r="U130" s="62"/>
      <c r="V130" s="62"/>
      <c r="W130" s="62"/>
      <c r="X130" s="62"/>
      <c r="Y130" s="62"/>
      <c r="Z130" s="62"/>
    </row>
    <row r="131" spans="1:26" ht="15.75" customHeight="1">
      <c r="A131" s="59"/>
      <c r="B131" s="107"/>
      <c r="C131" s="105"/>
      <c r="D131" s="106"/>
      <c r="E131" s="109"/>
      <c r="F131" s="112"/>
      <c r="G131" s="60"/>
      <c r="H131" s="60"/>
      <c r="I131" s="60"/>
      <c r="J131" s="60"/>
      <c r="K131" s="60"/>
      <c r="L131" s="60"/>
      <c r="M131" s="60"/>
      <c r="N131" s="60"/>
      <c r="O131" s="61"/>
      <c r="P131" s="62"/>
      <c r="Q131" s="62"/>
      <c r="R131" s="62"/>
      <c r="S131" s="62"/>
      <c r="T131" s="62"/>
      <c r="U131" s="62"/>
      <c r="V131" s="62"/>
      <c r="W131" s="62"/>
      <c r="X131" s="62"/>
      <c r="Y131" s="62"/>
      <c r="Z131" s="62"/>
    </row>
    <row r="132" spans="1:26" ht="15.75" customHeight="1">
      <c r="A132" s="59"/>
      <c r="B132" s="107"/>
      <c r="C132" s="105"/>
      <c r="D132" s="106"/>
      <c r="E132" s="109"/>
      <c r="F132" s="112"/>
      <c r="G132" s="60"/>
      <c r="H132" s="60"/>
      <c r="I132" s="60"/>
      <c r="J132" s="60"/>
      <c r="K132" s="60"/>
      <c r="L132" s="60"/>
      <c r="M132" s="60"/>
      <c r="N132" s="60"/>
      <c r="O132" s="61"/>
      <c r="P132" s="62"/>
      <c r="Q132" s="62"/>
      <c r="R132" s="62"/>
      <c r="S132" s="62"/>
      <c r="T132" s="62"/>
      <c r="U132" s="62"/>
      <c r="V132" s="62"/>
      <c r="W132" s="62"/>
      <c r="X132" s="62"/>
      <c r="Y132" s="62"/>
      <c r="Z132" s="62"/>
    </row>
    <row r="133" spans="1:26" ht="15.75" customHeight="1">
      <c r="A133" s="59"/>
      <c r="B133" s="107"/>
      <c r="C133" s="105"/>
      <c r="D133" s="106"/>
      <c r="E133" s="109"/>
      <c r="F133" s="112"/>
      <c r="G133" s="60"/>
      <c r="H133" s="60"/>
      <c r="I133" s="60"/>
      <c r="J133" s="60"/>
      <c r="K133" s="60"/>
      <c r="L133" s="60"/>
      <c r="M133" s="60"/>
      <c r="N133" s="60"/>
      <c r="O133" s="61"/>
      <c r="P133" s="62"/>
      <c r="Q133" s="62"/>
      <c r="R133" s="62"/>
      <c r="S133" s="62"/>
      <c r="T133" s="62"/>
      <c r="U133" s="62"/>
      <c r="V133" s="62"/>
      <c r="W133" s="62"/>
      <c r="X133" s="62"/>
      <c r="Y133" s="62"/>
      <c r="Z133" s="62"/>
    </row>
    <row r="134" spans="1:26" ht="15.75" customHeight="1">
      <c r="A134" s="59"/>
      <c r="B134" s="107"/>
      <c r="C134" s="105"/>
      <c r="D134" s="106"/>
      <c r="E134" s="109"/>
      <c r="F134" s="112"/>
      <c r="G134" s="60"/>
      <c r="H134" s="60"/>
      <c r="I134" s="60"/>
      <c r="J134" s="60"/>
      <c r="K134" s="60"/>
      <c r="L134" s="60"/>
      <c r="M134" s="60"/>
      <c r="N134" s="60"/>
      <c r="O134" s="61"/>
      <c r="P134" s="62"/>
      <c r="Q134" s="62"/>
      <c r="R134" s="62"/>
      <c r="S134" s="62"/>
      <c r="T134" s="62"/>
      <c r="U134" s="62"/>
      <c r="V134" s="62"/>
      <c r="W134" s="62"/>
      <c r="X134" s="62"/>
      <c r="Y134" s="62"/>
      <c r="Z134" s="62"/>
    </row>
    <row r="135" spans="1:26" ht="15.75" customHeight="1">
      <c r="A135" s="59"/>
      <c r="B135" s="107"/>
      <c r="C135" s="105"/>
      <c r="D135" s="106"/>
      <c r="E135" s="109"/>
      <c r="F135" s="112"/>
      <c r="G135" s="60"/>
      <c r="H135" s="60"/>
      <c r="I135" s="60"/>
      <c r="J135" s="60"/>
      <c r="K135" s="60"/>
      <c r="L135" s="60"/>
      <c r="M135" s="60"/>
      <c r="N135" s="60"/>
      <c r="O135" s="61"/>
      <c r="P135" s="62"/>
      <c r="Q135" s="62"/>
      <c r="R135" s="62"/>
      <c r="S135" s="62"/>
      <c r="T135" s="62"/>
      <c r="U135" s="62"/>
      <c r="V135" s="62"/>
      <c r="W135" s="62"/>
      <c r="X135" s="62"/>
      <c r="Y135" s="62"/>
      <c r="Z135" s="62"/>
    </row>
    <row r="136" spans="1:26" ht="15.75" customHeight="1">
      <c r="A136" s="59"/>
      <c r="B136" s="107"/>
      <c r="C136" s="105"/>
      <c r="D136" s="106"/>
      <c r="E136" s="109"/>
      <c r="F136" s="112"/>
      <c r="G136" s="60"/>
      <c r="H136" s="60"/>
      <c r="I136" s="60"/>
      <c r="J136" s="60"/>
      <c r="K136" s="60"/>
      <c r="L136" s="60"/>
      <c r="M136" s="60"/>
      <c r="N136" s="60"/>
      <c r="O136" s="61"/>
      <c r="P136" s="62"/>
      <c r="Q136" s="62"/>
      <c r="R136" s="62"/>
      <c r="S136" s="62"/>
      <c r="T136" s="62"/>
      <c r="U136" s="62"/>
      <c r="V136" s="62"/>
      <c r="W136" s="62"/>
      <c r="X136" s="62"/>
      <c r="Y136" s="62"/>
      <c r="Z136" s="62"/>
    </row>
    <row r="137" spans="1:26" ht="15.75" customHeight="1">
      <c r="A137" s="59"/>
      <c r="B137" s="107"/>
      <c r="C137" s="105"/>
      <c r="D137" s="106"/>
      <c r="E137" s="109"/>
      <c r="F137" s="112"/>
      <c r="G137" s="60"/>
      <c r="H137" s="60"/>
      <c r="I137" s="60"/>
      <c r="J137" s="60"/>
      <c r="K137" s="60"/>
      <c r="L137" s="60"/>
      <c r="M137" s="60"/>
      <c r="N137" s="60"/>
      <c r="O137" s="61"/>
      <c r="P137" s="62"/>
      <c r="Q137" s="62"/>
      <c r="R137" s="62"/>
      <c r="S137" s="62"/>
      <c r="T137" s="62"/>
      <c r="U137" s="62"/>
      <c r="V137" s="62"/>
      <c r="W137" s="62"/>
      <c r="X137" s="62"/>
      <c r="Y137" s="62"/>
      <c r="Z137" s="62"/>
    </row>
    <row r="138" spans="1:26" ht="15.75" customHeight="1">
      <c r="A138" s="59"/>
      <c r="B138" s="107"/>
      <c r="C138" s="105"/>
      <c r="D138" s="106"/>
      <c r="E138" s="109"/>
      <c r="F138" s="112"/>
      <c r="G138" s="60"/>
      <c r="H138" s="60"/>
      <c r="I138" s="60"/>
      <c r="J138" s="60"/>
      <c r="K138" s="60"/>
      <c r="L138" s="60"/>
      <c r="M138" s="60"/>
      <c r="N138" s="60"/>
      <c r="O138" s="61"/>
      <c r="P138" s="62"/>
      <c r="Q138" s="62"/>
      <c r="R138" s="62"/>
      <c r="S138" s="62"/>
      <c r="T138" s="62"/>
      <c r="U138" s="62"/>
      <c r="V138" s="62"/>
      <c r="W138" s="62"/>
      <c r="X138" s="62"/>
      <c r="Y138" s="62"/>
      <c r="Z138" s="62"/>
    </row>
    <row r="139" spans="1:26" ht="15.75" customHeight="1">
      <c r="A139" s="59"/>
      <c r="B139" s="107"/>
      <c r="C139" s="105"/>
      <c r="D139" s="106"/>
      <c r="E139" s="109"/>
      <c r="F139" s="112"/>
      <c r="G139" s="60"/>
      <c r="H139" s="60"/>
      <c r="I139" s="60"/>
      <c r="J139" s="60"/>
      <c r="K139" s="60"/>
      <c r="L139" s="60"/>
      <c r="M139" s="60"/>
      <c r="N139" s="60"/>
      <c r="O139" s="61"/>
      <c r="P139" s="62"/>
      <c r="Q139" s="62"/>
      <c r="R139" s="62"/>
      <c r="S139" s="62"/>
      <c r="T139" s="62"/>
      <c r="U139" s="62"/>
      <c r="V139" s="62"/>
      <c r="W139" s="62"/>
      <c r="X139" s="62"/>
      <c r="Y139" s="62"/>
      <c r="Z139" s="62"/>
    </row>
    <row r="140" spans="1:26" ht="15.75" customHeight="1">
      <c r="A140" s="59"/>
      <c r="B140" s="107"/>
      <c r="C140" s="105"/>
      <c r="D140" s="106"/>
      <c r="E140" s="109"/>
      <c r="F140" s="112"/>
      <c r="G140" s="60"/>
      <c r="H140" s="60"/>
      <c r="I140" s="60"/>
      <c r="J140" s="60"/>
      <c r="K140" s="60"/>
      <c r="L140" s="60"/>
      <c r="M140" s="60"/>
      <c r="N140" s="60"/>
      <c r="O140" s="61"/>
      <c r="P140" s="62"/>
      <c r="Q140" s="62"/>
      <c r="R140" s="62"/>
      <c r="S140" s="62"/>
      <c r="T140" s="62"/>
      <c r="U140" s="62"/>
      <c r="V140" s="62"/>
      <c r="W140" s="62"/>
      <c r="X140" s="62"/>
      <c r="Y140" s="62"/>
      <c r="Z140" s="62"/>
    </row>
    <row r="141" spans="1:26" ht="15.75" customHeight="1">
      <c r="A141" s="59"/>
      <c r="B141" s="107"/>
      <c r="C141" s="105"/>
      <c r="D141" s="106"/>
      <c r="E141" s="109"/>
      <c r="F141" s="112"/>
      <c r="G141" s="60"/>
      <c r="H141" s="60"/>
      <c r="I141" s="60"/>
      <c r="J141" s="60"/>
      <c r="K141" s="60"/>
      <c r="L141" s="60"/>
      <c r="M141" s="60"/>
      <c r="N141" s="60"/>
      <c r="O141" s="61"/>
      <c r="P141" s="62"/>
      <c r="Q141" s="62"/>
      <c r="R141" s="62"/>
      <c r="S141" s="62"/>
      <c r="T141" s="62"/>
      <c r="U141" s="62"/>
      <c r="V141" s="62"/>
      <c r="W141" s="62"/>
      <c r="X141" s="62"/>
      <c r="Y141" s="62"/>
      <c r="Z141" s="62"/>
    </row>
    <row r="142" spans="1:26" ht="15.75" customHeight="1">
      <c r="A142" s="59"/>
      <c r="B142" s="107"/>
      <c r="C142" s="105"/>
      <c r="D142" s="106"/>
      <c r="E142" s="109"/>
      <c r="F142" s="112"/>
      <c r="G142" s="60"/>
      <c r="H142" s="60"/>
      <c r="I142" s="60"/>
      <c r="J142" s="60"/>
      <c r="K142" s="60"/>
      <c r="L142" s="60"/>
      <c r="M142" s="60"/>
      <c r="N142" s="60"/>
      <c r="O142" s="61"/>
      <c r="P142" s="62"/>
      <c r="Q142" s="62"/>
      <c r="R142" s="62"/>
      <c r="S142" s="62"/>
      <c r="T142" s="62"/>
      <c r="U142" s="62"/>
      <c r="V142" s="62"/>
      <c r="W142" s="62"/>
      <c r="X142" s="62"/>
      <c r="Y142" s="62"/>
      <c r="Z142" s="62"/>
    </row>
    <row r="143" spans="1:26" ht="15.75" customHeight="1">
      <c r="A143" s="59"/>
      <c r="B143" s="107"/>
      <c r="C143" s="105"/>
      <c r="D143" s="106"/>
      <c r="E143" s="109"/>
      <c r="F143" s="112"/>
      <c r="G143" s="60"/>
      <c r="H143" s="60"/>
      <c r="I143" s="60"/>
      <c r="J143" s="60"/>
      <c r="K143" s="60"/>
      <c r="L143" s="60"/>
      <c r="M143" s="60"/>
      <c r="N143" s="60"/>
      <c r="O143" s="61"/>
      <c r="P143" s="62"/>
      <c r="Q143" s="62"/>
      <c r="R143" s="62"/>
      <c r="S143" s="62"/>
      <c r="T143" s="62"/>
      <c r="U143" s="62"/>
      <c r="V143" s="62"/>
      <c r="W143" s="62"/>
      <c r="X143" s="62"/>
      <c r="Y143" s="62"/>
      <c r="Z143" s="62"/>
    </row>
    <row r="144" spans="1:26" ht="15.75" customHeight="1">
      <c r="A144" s="59"/>
      <c r="B144" s="107"/>
      <c r="C144" s="105"/>
      <c r="D144" s="106"/>
      <c r="E144" s="109"/>
      <c r="F144" s="112"/>
      <c r="G144" s="60"/>
      <c r="H144" s="60"/>
      <c r="I144" s="60"/>
      <c r="J144" s="60"/>
      <c r="K144" s="60"/>
      <c r="L144" s="60"/>
      <c r="M144" s="60"/>
      <c r="N144" s="60"/>
      <c r="O144" s="61"/>
      <c r="P144" s="62"/>
      <c r="Q144" s="62"/>
      <c r="R144" s="62"/>
      <c r="S144" s="62"/>
      <c r="T144" s="62"/>
      <c r="U144" s="62"/>
      <c r="V144" s="62"/>
      <c r="W144" s="62"/>
      <c r="X144" s="62"/>
      <c r="Y144" s="62"/>
      <c r="Z144" s="62"/>
    </row>
    <row r="145" spans="1:26" ht="15.75" customHeight="1">
      <c r="A145" s="59"/>
      <c r="B145" s="107"/>
      <c r="C145" s="105"/>
      <c r="D145" s="106"/>
      <c r="E145" s="109"/>
      <c r="F145" s="112"/>
      <c r="G145" s="60"/>
      <c r="H145" s="60"/>
      <c r="I145" s="60"/>
      <c r="J145" s="60"/>
      <c r="K145" s="60"/>
      <c r="L145" s="60"/>
      <c r="M145" s="60"/>
      <c r="N145" s="60"/>
      <c r="O145" s="61"/>
      <c r="P145" s="62"/>
      <c r="Q145" s="62"/>
      <c r="R145" s="62"/>
      <c r="S145" s="62"/>
      <c r="T145" s="62"/>
      <c r="U145" s="62"/>
      <c r="V145" s="62"/>
      <c r="W145" s="62"/>
      <c r="X145" s="62"/>
      <c r="Y145" s="62"/>
      <c r="Z145" s="62"/>
    </row>
    <row r="146" spans="1:26" ht="15.75" customHeight="1">
      <c r="A146" s="59"/>
      <c r="B146" s="107"/>
      <c r="C146" s="105"/>
      <c r="D146" s="106"/>
      <c r="E146" s="109"/>
      <c r="F146" s="112"/>
      <c r="G146" s="60"/>
      <c r="H146" s="60"/>
      <c r="I146" s="60"/>
      <c r="J146" s="60"/>
      <c r="K146" s="60"/>
      <c r="L146" s="60"/>
      <c r="M146" s="60"/>
      <c r="N146" s="60"/>
      <c r="O146" s="61"/>
      <c r="P146" s="62"/>
      <c r="Q146" s="62"/>
      <c r="R146" s="62"/>
      <c r="S146" s="62"/>
      <c r="T146" s="62"/>
      <c r="U146" s="62"/>
      <c r="V146" s="62"/>
      <c r="W146" s="62"/>
      <c r="X146" s="62"/>
      <c r="Y146" s="62"/>
      <c r="Z146" s="62"/>
    </row>
    <row r="147" spans="1:26" ht="15.75" customHeight="1">
      <c r="A147" s="59"/>
      <c r="B147" s="107"/>
      <c r="C147" s="105"/>
      <c r="D147" s="106"/>
      <c r="E147" s="109"/>
      <c r="F147" s="112"/>
      <c r="G147" s="60"/>
      <c r="H147" s="60"/>
      <c r="I147" s="60"/>
      <c r="J147" s="60"/>
      <c r="K147" s="60"/>
      <c r="L147" s="60"/>
      <c r="M147" s="60"/>
      <c r="N147" s="60"/>
      <c r="O147" s="61"/>
      <c r="P147" s="62"/>
      <c r="Q147" s="62"/>
      <c r="R147" s="62"/>
      <c r="S147" s="62"/>
      <c r="T147" s="62"/>
      <c r="U147" s="62"/>
      <c r="V147" s="62"/>
      <c r="W147" s="62"/>
      <c r="X147" s="62"/>
      <c r="Y147" s="62"/>
      <c r="Z147" s="62"/>
    </row>
    <row r="148" spans="1:26" ht="15.75" customHeight="1">
      <c r="A148" s="59"/>
      <c r="B148" s="107"/>
      <c r="C148" s="105"/>
      <c r="D148" s="106"/>
      <c r="E148" s="109"/>
      <c r="F148" s="112"/>
      <c r="G148" s="60"/>
      <c r="H148" s="60"/>
      <c r="I148" s="60"/>
      <c r="J148" s="60"/>
      <c r="K148" s="60"/>
      <c r="L148" s="60"/>
      <c r="M148" s="60"/>
      <c r="N148" s="60"/>
      <c r="O148" s="61"/>
      <c r="P148" s="62"/>
      <c r="Q148" s="62"/>
      <c r="R148" s="62"/>
      <c r="S148" s="62"/>
      <c r="T148" s="62"/>
      <c r="U148" s="62"/>
      <c r="V148" s="62"/>
      <c r="W148" s="62"/>
      <c r="X148" s="62"/>
      <c r="Y148" s="62"/>
      <c r="Z148" s="62"/>
    </row>
    <row r="149" spans="1:26" ht="15.75" customHeight="1">
      <c r="A149" s="59"/>
      <c r="B149" s="107"/>
      <c r="C149" s="105"/>
      <c r="D149" s="106"/>
      <c r="E149" s="109"/>
      <c r="F149" s="112"/>
      <c r="G149" s="60"/>
      <c r="H149" s="60"/>
      <c r="I149" s="60"/>
      <c r="J149" s="60"/>
      <c r="K149" s="60"/>
      <c r="L149" s="60"/>
      <c r="M149" s="60"/>
      <c r="N149" s="60"/>
      <c r="O149" s="61"/>
      <c r="P149" s="62"/>
      <c r="Q149" s="62"/>
      <c r="R149" s="62"/>
      <c r="S149" s="62"/>
      <c r="T149" s="62"/>
      <c r="U149" s="62"/>
      <c r="V149" s="62"/>
      <c r="W149" s="62"/>
      <c r="X149" s="62"/>
      <c r="Y149" s="62"/>
      <c r="Z149" s="62"/>
    </row>
    <row r="150" spans="1:26" ht="15.75" customHeight="1">
      <c r="A150" s="59"/>
      <c r="B150" s="107"/>
      <c r="C150" s="105"/>
      <c r="D150" s="106"/>
      <c r="E150" s="109"/>
      <c r="F150" s="112"/>
      <c r="G150" s="60"/>
      <c r="H150" s="60"/>
      <c r="I150" s="60"/>
      <c r="J150" s="60"/>
      <c r="K150" s="60"/>
      <c r="L150" s="60"/>
      <c r="M150" s="60"/>
      <c r="N150" s="60"/>
      <c r="O150" s="61"/>
      <c r="P150" s="62"/>
      <c r="Q150" s="62"/>
      <c r="R150" s="62"/>
      <c r="S150" s="62"/>
      <c r="T150" s="62"/>
      <c r="U150" s="62"/>
      <c r="V150" s="62"/>
      <c r="W150" s="62"/>
      <c r="X150" s="62"/>
      <c r="Y150" s="62"/>
      <c r="Z150" s="62"/>
    </row>
    <row r="151" spans="1:26" ht="15.75" customHeight="1">
      <c r="A151" s="59"/>
      <c r="B151" s="107"/>
      <c r="C151" s="105"/>
      <c r="D151" s="106"/>
      <c r="E151" s="110"/>
      <c r="F151" s="113"/>
      <c r="G151" s="60"/>
      <c r="H151" s="60"/>
      <c r="I151" s="60"/>
      <c r="J151" s="60"/>
      <c r="K151" s="60"/>
      <c r="L151" s="60"/>
      <c r="M151" s="60"/>
      <c r="N151" s="60"/>
      <c r="O151" s="61"/>
      <c r="P151" s="62"/>
      <c r="Q151" s="62"/>
      <c r="R151" s="62"/>
      <c r="S151" s="62"/>
      <c r="T151" s="62"/>
      <c r="U151" s="62"/>
      <c r="V151" s="62"/>
      <c r="W151" s="62"/>
      <c r="X151" s="62"/>
      <c r="Y151" s="62"/>
      <c r="Z151" s="62"/>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3">
    <mergeCell ref="B85:D85"/>
    <mergeCell ref="I73:N78"/>
    <mergeCell ref="I79:N79"/>
    <mergeCell ref="B100:D100"/>
    <mergeCell ref="B101:D101"/>
    <mergeCell ref="B53:D53"/>
    <mergeCell ref="B54:D54"/>
    <mergeCell ref="G62:H79"/>
    <mergeCell ref="O62:O79"/>
    <mergeCell ref="E69:E102"/>
    <mergeCell ref="F69:F102"/>
    <mergeCell ref="B79:D79"/>
    <mergeCell ref="B102:D102"/>
    <mergeCell ref="I81:M81"/>
    <mergeCell ref="I82:N88"/>
    <mergeCell ref="I89:N89"/>
    <mergeCell ref="B72:D72"/>
    <mergeCell ref="I72:N72"/>
    <mergeCell ref="B69:D69"/>
    <mergeCell ref="B74:D74"/>
    <mergeCell ref="B80:D80"/>
    <mergeCell ref="B81:D81"/>
    <mergeCell ref="B82:D82"/>
    <mergeCell ref="B83:D83"/>
    <mergeCell ref="B84:D84"/>
    <mergeCell ref="B61:D61"/>
    <mergeCell ref="G61:O61"/>
    <mergeCell ref="B62:D62"/>
    <mergeCell ref="I62:N62"/>
    <mergeCell ref="B70:D70"/>
    <mergeCell ref="I70:N70"/>
    <mergeCell ref="I63:N68"/>
    <mergeCell ref="I69:N69"/>
    <mergeCell ref="B71:D71"/>
    <mergeCell ref="I71:N71"/>
    <mergeCell ref="B41:D41"/>
    <mergeCell ref="I41:N49"/>
    <mergeCell ref="B42:D42"/>
    <mergeCell ref="B43:D43"/>
    <mergeCell ref="B44:D44"/>
    <mergeCell ref="B45:D45"/>
    <mergeCell ref="B46:D46"/>
    <mergeCell ref="A4:O4"/>
    <mergeCell ref="A5:O5"/>
    <mergeCell ref="A6:D6"/>
    <mergeCell ref="E6:E62"/>
    <mergeCell ref="F6:F62"/>
    <mergeCell ref="G6:O6"/>
    <mergeCell ref="B8:D8"/>
    <mergeCell ref="B55:D55"/>
    <mergeCell ref="I55:N56"/>
    <mergeCell ref="B56:D56"/>
    <mergeCell ref="B57:D57"/>
    <mergeCell ref="I57:N57"/>
    <mergeCell ref="B58:D58"/>
    <mergeCell ref="G58:N58"/>
    <mergeCell ref="G59:N59"/>
    <mergeCell ref="B60:D60"/>
    <mergeCell ref="G60:O60"/>
    <mergeCell ref="B47:D47"/>
    <mergeCell ref="B48:D48"/>
    <mergeCell ref="B49:D49"/>
    <mergeCell ref="B50:D50"/>
    <mergeCell ref="I50:N50"/>
    <mergeCell ref="B51:D51"/>
    <mergeCell ref="G51:N51"/>
    <mergeCell ref="B52:D52"/>
    <mergeCell ref="G52:N52"/>
    <mergeCell ref="B36:D36"/>
    <mergeCell ref="B37:D37"/>
    <mergeCell ref="I28:N32"/>
    <mergeCell ref="B29:D29"/>
    <mergeCell ref="B30:D30"/>
    <mergeCell ref="B31:D31"/>
    <mergeCell ref="B32:D32"/>
    <mergeCell ref="G38:N38"/>
    <mergeCell ref="B39:D39"/>
    <mergeCell ref="G39:O40"/>
    <mergeCell ref="B40:D40"/>
    <mergeCell ref="B26:D26"/>
    <mergeCell ref="B27:D27"/>
    <mergeCell ref="B28:D28"/>
    <mergeCell ref="G32:H33"/>
    <mergeCell ref="B33:D33"/>
    <mergeCell ref="I33:N33"/>
    <mergeCell ref="B34:D34"/>
    <mergeCell ref="G34:N34"/>
    <mergeCell ref="B35:D35"/>
    <mergeCell ref="G35:N35"/>
    <mergeCell ref="B134:D134"/>
    <mergeCell ref="B135:D135"/>
    <mergeCell ref="B136:D136"/>
    <mergeCell ref="B137:D137"/>
    <mergeCell ref="B138:D138"/>
    <mergeCell ref="B139:D139"/>
    <mergeCell ref="B140:D140"/>
    <mergeCell ref="B9:D9"/>
    <mergeCell ref="I9:N9"/>
    <mergeCell ref="B10:D10"/>
    <mergeCell ref="I10:N10"/>
    <mergeCell ref="B11:D11"/>
    <mergeCell ref="I11:N11"/>
    <mergeCell ref="B12:D12"/>
    <mergeCell ref="B13:D13"/>
    <mergeCell ref="I17:N19"/>
    <mergeCell ref="G20:H20"/>
    <mergeCell ref="I20:N22"/>
    <mergeCell ref="B21:D21"/>
    <mergeCell ref="G23:N23"/>
    <mergeCell ref="B24:D24"/>
    <mergeCell ref="G13:N13"/>
    <mergeCell ref="G17:H17"/>
    <mergeCell ref="G24:N24"/>
    <mergeCell ref="B142:D142"/>
    <mergeCell ref="B143:D143"/>
    <mergeCell ref="B144:D144"/>
    <mergeCell ref="B145:D145"/>
    <mergeCell ref="B146:D146"/>
    <mergeCell ref="B147:D147"/>
    <mergeCell ref="B148:D148"/>
    <mergeCell ref="B149:D149"/>
    <mergeCell ref="B150:D150"/>
    <mergeCell ref="B121:D121"/>
    <mergeCell ref="B98:D98"/>
    <mergeCell ref="B99:D99"/>
    <mergeCell ref="B103:D103"/>
    <mergeCell ref="E103:E125"/>
    <mergeCell ref="F103:F125"/>
    <mergeCell ref="B104:D104"/>
    <mergeCell ref="B105:D105"/>
    <mergeCell ref="B141:D141"/>
    <mergeCell ref="B124:D124"/>
    <mergeCell ref="B125:D125"/>
    <mergeCell ref="B126:D126"/>
    <mergeCell ref="E126:E151"/>
    <mergeCell ref="F126:F151"/>
    <mergeCell ref="B127:D127"/>
    <mergeCell ref="B128:D128"/>
    <mergeCell ref="B151:D151"/>
    <mergeCell ref="B122:D122"/>
    <mergeCell ref="B123:D123"/>
    <mergeCell ref="B129:D129"/>
    <mergeCell ref="B130:D130"/>
    <mergeCell ref="B131:D131"/>
    <mergeCell ref="B132:D132"/>
    <mergeCell ref="B133:D133"/>
    <mergeCell ref="B112:D112"/>
    <mergeCell ref="B113:D113"/>
    <mergeCell ref="B114:D114"/>
    <mergeCell ref="B115:D115"/>
    <mergeCell ref="B116:D116"/>
    <mergeCell ref="B117:D117"/>
    <mergeCell ref="B118:D118"/>
    <mergeCell ref="B119:D119"/>
    <mergeCell ref="B120:D120"/>
    <mergeCell ref="B95:D95"/>
    <mergeCell ref="B96:D96"/>
    <mergeCell ref="B97:D97"/>
    <mergeCell ref="B106:D106"/>
    <mergeCell ref="B107:D107"/>
    <mergeCell ref="B108:D108"/>
    <mergeCell ref="B109:D109"/>
    <mergeCell ref="B110:D110"/>
    <mergeCell ref="B111:D111"/>
    <mergeCell ref="B86:D86"/>
    <mergeCell ref="B87:D87"/>
    <mergeCell ref="B88:D88"/>
    <mergeCell ref="B89:D89"/>
    <mergeCell ref="B90:D90"/>
    <mergeCell ref="B91:D91"/>
    <mergeCell ref="B92:D92"/>
    <mergeCell ref="B93:D93"/>
    <mergeCell ref="B94:D94"/>
  </mergeCells>
  <hyperlinks>
    <hyperlink ref="I89" r:id="rId1"/>
    <hyperlink ref="B9" location="'Bombas de Aceite'!A1" display="Bombas de Aceite"/>
  </hyperlinks>
  <pageMargins left="0.7" right="0.7" top="0.75" bottom="0.75"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2.75"/>
  <sheetData>
    <row r="1" spans="1:9">
      <c r="A1" t="s">
        <v>23</v>
      </c>
      <c r="B1" t="s">
        <v>24</v>
      </c>
      <c r="C1" t="s">
        <v>25</v>
      </c>
    </row>
    <row r="2" spans="1:9">
      <c r="A2" t="s">
        <v>36</v>
      </c>
    </row>
    <row r="3" spans="1:9">
      <c r="A3" t="s">
        <v>58</v>
      </c>
      <c r="B3" t="s">
        <v>59</v>
      </c>
    </row>
    <row r="4" spans="1:9">
      <c r="A4" t="s">
        <v>64</v>
      </c>
    </row>
    <row r="5" spans="1:9">
      <c r="A5" t="s">
        <v>66</v>
      </c>
      <c r="B5" t="s">
        <v>67</v>
      </c>
      <c r="C5" t="s">
        <v>68</v>
      </c>
    </row>
    <row r="6" spans="1:9">
      <c r="A6" t="s">
        <v>66</v>
      </c>
      <c r="B6" t="s">
        <v>72</v>
      </c>
      <c r="C6" t="s">
        <v>73</v>
      </c>
    </row>
    <row r="7" spans="1:9">
      <c r="A7" t="s">
        <v>66</v>
      </c>
      <c r="B7" t="s">
        <v>75</v>
      </c>
      <c r="C7" t="s">
        <v>76</v>
      </c>
      <c r="D7" t="s">
        <v>77</v>
      </c>
    </row>
    <row r="8" spans="1:9">
      <c r="A8" t="s">
        <v>66</v>
      </c>
      <c r="B8" t="s">
        <v>81</v>
      </c>
      <c r="C8" t="s">
        <v>82</v>
      </c>
      <c r="D8" t="s">
        <v>83</v>
      </c>
    </row>
    <row r="9" spans="1:9">
      <c r="A9" t="s">
        <v>90</v>
      </c>
      <c r="B9" t="s">
        <v>91</v>
      </c>
      <c r="C9" t="s">
        <v>92</v>
      </c>
      <c r="D9" t="s">
        <v>93</v>
      </c>
      <c r="E9" t="s">
        <v>94</v>
      </c>
      <c r="F9" t="s">
        <v>95</v>
      </c>
      <c r="G9" t="s">
        <v>96</v>
      </c>
      <c r="H9" t="s">
        <v>97</v>
      </c>
      <c r="I9" t="s">
        <v>98</v>
      </c>
    </row>
    <row r="10" spans="1:9">
      <c r="A10" t="s">
        <v>66</v>
      </c>
      <c r="B10" t="s">
        <v>100</v>
      </c>
      <c r="C10" t="s">
        <v>101</v>
      </c>
    </row>
    <row r="11" spans="1:9">
      <c r="A11" t="s">
        <v>66</v>
      </c>
      <c r="B11" t="s">
        <v>100</v>
      </c>
      <c r="C11" t="s">
        <v>101</v>
      </c>
    </row>
    <row r="12" spans="1:9">
      <c r="A12" t="s">
        <v>66</v>
      </c>
      <c r="B12" t="s">
        <v>100</v>
      </c>
      <c r="C12" t="s">
        <v>101</v>
      </c>
    </row>
    <row r="13" spans="1:9">
      <c r="A13" t="s">
        <v>66</v>
      </c>
      <c r="B13" t="s">
        <v>100</v>
      </c>
      <c r="C13"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1"/>
  <sheetViews>
    <sheetView tabSelected="1" topLeftCell="S1" workbookViewId="0">
      <selection activeCell="Y14" sqref="Y14"/>
    </sheetView>
  </sheetViews>
  <sheetFormatPr defaultRowHeight="14.25"/>
  <cols>
    <col min="1" max="1" width="62.42578125" style="63" customWidth="1"/>
    <col min="2" max="2" width="8.7109375" customWidth="1"/>
    <col min="3" max="3" width="26.140625" customWidth="1"/>
    <col min="4" max="4" width="35.140625" customWidth="1"/>
    <col min="5" max="5" width="226.85546875" style="72" bestFit="1" customWidth="1"/>
    <col min="6" max="6" width="4.42578125" bestFit="1" customWidth="1"/>
    <col min="7" max="7" width="16.42578125" style="75" customWidth="1"/>
    <col min="8" max="8" width="23.42578125" style="77" customWidth="1"/>
    <col min="9" max="9" width="43" style="79" customWidth="1"/>
    <col min="10" max="10" width="19.5703125" style="66" customWidth="1"/>
    <col min="11" max="11" width="39.42578125" customWidth="1"/>
    <col min="12" max="12" width="19.5703125" style="66" customWidth="1"/>
    <col min="13" max="15" width="27.28515625" customWidth="1"/>
    <col min="16" max="16" width="26.140625" customWidth="1"/>
    <col min="17" max="17" width="26.140625" style="89" customWidth="1"/>
    <col min="18" max="25" width="26.140625" customWidth="1"/>
    <col min="26" max="26" width="31.28515625" customWidth="1"/>
    <col min="27" max="28" width="15.5703125" hidden="1" customWidth="1"/>
  </cols>
  <sheetData>
    <row r="1" spans="1:28" ht="15" customHeight="1">
      <c r="A1" s="215" t="s">
        <v>39</v>
      </c>
      <c r="B1" s="132"/>
      <c r="C1" s="132"/>
      <c r="D1" s="219" t="s">
        <v>49</v>
      </c>
      <c r="E1" s="220"/>
      <c r="F1" s="132"/>
      <c r="G1" s="221"/>
      <c r="H1" s="222" t="s">
        <v>54</v>
      </c>
      <c r="I1" s="223"/>
      <c r="J1" s="225" t="s">
        <v>85</v>
      </c>
      <c r="K1" s="132"/>
      <c r="L1" s="226"/>
      <c r="M1" s="132"/>
      <c r="N1" s="132"/>
      <c r="O1" s="132"/>
      <c r="P1" s="132"/>
      <c r="Q1" s="227"/>
      <c r="R1" s="132"/>
      <c r="S1" s="228" t="s">
        <v>105</v>
      </c>
      <c r="T1" s="132"/>
      <c r="U1" s="132"/>
      <c r="V1" s="132"/>
      <c r="W1" s="132"/>
      <c r="X1" s="132"/>
      <c r="Y1" s="132"/>
      <c r="Z1" s="229" t="s">
        <v>32</v>
      </c>
      <c r="AA1" s="230" t="s">
        <v>32</v>
      </c>
      <c r="AB1" s="132"/>
    </row>
    <row r="2" spans="1:28" ht="27" customHeight="1">
      <c r="A2" s="216" t="s">
        <v>40</v>
      </c>
      <c r="B2" s="132"/>
      <c r="C2" s="132"/>
      <c r="D2" s="132"/>
      <c r="E2" s="220"/>
      <c r="F2" s="132"/>
      <c r="G2" s="221"/>
      <c r="H2" s="224"/>
      <c r="I2" s="223"/>
      <c r="J2" s="226"/>
      <c r="K2" s="132"/>
      <c r="L2" s="226"/>
      <c r="M2" s="132"/>
      <c r="N2" s="132"/>
      <c r="O2" s="132"/>
      <c r="P2" s="132"/>
      <c r="Q2" s="227"/>
      <c r="R2" s="132"/>
      <c r="S2" s="132"/>
      <c r="T2" s="132"/>
      <c r="U2" s="132"/>
      <c r="V2" s="132"/>
      <c r="W2" s="132"/>
      <c r="X2" s="132"/>
      <c r="Y2" s="132"/>
      <c r="Z2" s="132"/>
      <c r="AA2" s="132"/>
      <c r="AB2" s="132"/>
    </row>
    <row r="3" spans="1:28" ht="37.5" customHeight="1">
      <c r="A3" s="64" t="s">
        <v>30</v>
      </c>
      <c r="B3" s="67" t="s">
        <v>34</v>
      </c>
      <c r="C3" s="68" t="s">
        <v>35</v>
      </c>
      <c r="D3" s="71" t="s">
        <v>41</v>
      </c>
      <c r="E3" s="73" t="s">
        <v>44</v>
      </c>
      <c r="F3" s="74" t="s">
        <v>47</v>
      </c>
      <c r="G3" s="76" t="s">
        <v>48</v>
      </c>
      <c r="H3" s="78" t="s">
        <v>50</v>
      </c>
      <c r="I3" s="80" t="s">
        <v>52</v>
      </c>
      <c r="J3" s="82" t="s">
        <v>55</v>
      </c>
      <c r="K3" s="83" t="s">
        <v>57</v>
      </c>
      <c r="L3" s="84" t="s">
        <v>61</v>
      </c>
      <c r="M3" s="85" t="s">
        <v>63</v>
      </c>
      <c r="N3" s="86" t="s">
        <v>65</v>
      </c>
      <c r="O3" s="87" t="s">
        <v>71</v>
      </c>
      <c r="P3" s="88" t="s">
        <v>74</v>
      </c>
      <c r="Q3" s="90" t="s">
        <v>78</v>
      </c>
      <c r="R3" s="91" t="s">
        <v>80</v>
      </c>
      <c r="S3" s="92" t="s">
        <v>86</v>
      </c>
      <c r="T3" s="93" t="s">
        <v>88</v>
      </c>
      <c r="U3" s="94" t="s">
        <v>89</v>
      </c>
      <c r="V3" s="95" t="s">
        <v>99</v>
      </c>
      <c r="W3" s="96" t="s">
        <v>102</v>
      </c>
      <c r="X3" s="97" t="s">
        <v>103</v>
      </c>
      <c r="Y3" s="98" t="s">
        <v>104</v>
      </c>
      <c r="Z3" s="100" t="s">
        <v>106</v>
      </c>
      <c r="AA3" s="102" t="s">
        <v>109</v>
      </c>
      <c r="AB3" s="103" t="s">
        <v>110</v>
      </c>
    </row>
    <row r="4" spans="1:28" ht="17.25" customHeight="1">
      <c r="A4" s="65" t="s">
        <v>31</v>
      </c>
      <c r="B4" s="65" t="s">
        <v>32</v>
      </c>
      <c r="C4" s="65" t="s">
        <v>31</v>
      </c>
      <c r="D4" s="65" t="s">
        <v>32</v>
      </c>
      <c r="E4" s="65" t="s">
        <v>31</v>
      </c>
      <c r="F4" s="65" t="s">
        <v>32</v>
      </c>
      <c r="G4" s="65" t="s">
        <v>31</v>
      </c>
      <c r="H4" s="65" t="s">
        <v>31</v>
      </c>
      <c r="I4" s="65" t="s">
        <v>32</v>
      </c>
      <c r="J4" s="65" t="s">
        <v>32</v>
      </c>
      <c r="K4" s="65" t="s">
        <v>31</v>
      </c>
      <c r="L4" s="65" t="s">
        <v>32</v>
      </c>
      <c r="M4" s="65" t="s">
        <v>31</v>
      </c>
      <c r="N4" s="65" t="s">
        <v>31</v>
      </c>
      <c r="O4" s="65" t="s">
        <v>31</v>
      </c>
      <c r="P4" s="65" t="s">
        <v>32</v>
      </c>
      <c r="Q4" s="65" t="s">
        <v>32</v>
      </c>
      <c r="R4" s="65" t="s">
        <v>32</v>
      </c>
      <c r="S4" s="65" t="s">
        <v>31</v>
      </c>
      <c r="T4" s="65" t="s">
        <v>31</v>
      </c>
      <c r="U4" s="65" t="s">
        <v>32</v>
      </c>
      <c r="V4" s="65" t="s">
        <v>32</v>
      </c>
      <c r="W4" s="65" t="s">
        <v>32</v>
      </c>
      <c r="X4" s="65" t="s">
        <v>32</v>
      </c>
      <c r="Y4" s="65" t="s">
        <v>32</v>
      </c>
      <c r="Z4" s="65" t="s">
        <v>32</v>
      </c>
      <c r="AA4" s="65" t="s">
        <v>32</v>
      </c>
      <c r="AB4" s="65" t="s">
        <v>32</v>
      </c>
    </row>
    <row r="5" spans="1:28" ht="117" customHeight="1">
      <c r="A5" s="217" t="s">
        <v>33</v>
      </c>
      <c r="B5" s="218" t="s">
        <v>33</v>
      </c>
      <c r="C5" s="69" t="s">
        <v>37</v>
      </c>
      <c r="D5" s="66" t="s">
        <v>42</v>
      </c>
      <c r="E5" s="66" t="s">
        <v>45</v>
      </c>
      <c r="F5" s="66" t="s">
        <v>32</v>
      </c>
      <c r="G5" s="66" t="s">
        <v>32</v>
      </c>
      <c r="H5" s="66" t="s">
        <v>51</v>
      </c>
      <c r="I5" s="81" t="s">
        <v>53</v>
      </c>
      <c r="J5" s="66" t="s">
        <v>56</v>
      </c>
      <c r="K5" s="66" t="s">
        <v>60</v>
      </c>
      <c r="L5" s="66" t="s">
        <v>62</v>
      </c>
      <c r="M5" s="66" t="s">
        <v>32</v>
      </c>
      <c r="N5" s="66" t="s">
        <v>69</v>
      </c>
      <c r="O5" s="66" t="s">
        <v>32</v>
      </c>
      <c r="P5" s="66" t="s">
        <v>32</v>
      </c>
      <c r="Q5" s="66" t="s">
        <v>79</v>
      </c>
      <c r="R5" s="66" t="s">
        <v>84</v>
      </c>
      <c r="S5" s="66" t="s">
        <v>87</v>
      </c>
      <c r="T5" s="66" t="s">
        <v>32</v>
      </c>
      <c r="U5" s="66" t="s">
        <v>32</v>
      </c>
      <c r="V5" s="66" t="s">
        <v>32</v>
      </c>
      <c r="W5" s="66" t="s">
        <v>32</v>
      </c>
      <c r="X5" s="66" t="s">
        <v>32</v>
      </c>
      <c r="Y5" s="66" t="s">
        <v>32</v>
      </c>
      <c r="Z5" s="66" t="s">
        <v>107</v>
      </c>
      <c r="AA5" s="66" t="s">
        <v>32</v>
      </c>
      <c r="AB5" s="66" t="s">
        <v>32</v>
      </c>
    </row>
    <row r="6" spans="1:28" ht="27.6" customHeight="1">
      <c r="A6" s="66" t="s">
        <v>32</v>
      </c>
      <c r="B6" s="66" t="s">
        <v>32</v>
      </c>
      <c r="C6" s="70" t="s">
        <v>38</v>
      </c>
      <c r="D6" s="70" t="s">
        <v>43</v>
      </c>
      <c r="E6" s="70" t="s">
        <v>46</v>
      </c>
      <c r="F6" s="66" t="s">
        <v>32</v>
      </c>
      <c r="G6" s="66" t="s">
        <v>32</v>
      </c>
      <c r="H6" s="66" t="s">
        <v>32</v>
      </c>
      <c r="I6" s="66" t="s">
        <v>32</v>
      </c>
      <c r="J6" s="66" t="s">
        <v>32</v>
      </c>
      <c r="K6" s="66" t="s">
        <v>32</v>
      </c>
      <c r="L6" s="66" t="s">
        <v>32</v>
      </c>
      <c r="M6" s="66" t="s">
        <v>32</v>
      </c>
      <c r="N6" s="70" t="s">
        <v>70</v>
      </c>
      <c r="O6" s="66" t="s">
        <v>32</v>
      </c>
      <c r="P6" s="66" t="s">
        <v>32</v>
      </c>
      <c r="Q6" s="66" t="s">
        <v>32</v>
      </c>
      <c r="R6" s="66" t="s">
        <v>32</v>
      </c>
      <c r="S6" s="66" t="s">
        <v>32</v>
      </c>
      <c r="T6" s="66" t="s">
        <v>32</v>
      </c>
      <c r="U6" s="66" t="s">
        <v>32</v>
      </c>
      <c r="V6" s="66" t="s">
        <v>32</v>
      </c>
      <c r="W6" s="66" t="s">
        <v>32</v>
      </c>
      <c r="X6" s="66" t="s">
        <v>32</v>
      </c>
      <c r="Y6" s="66" t="s">
        <v>32</v>
      </c>
      <c r="Z6" s="70" t="s">
        <v>108</v>
      </c>
      <c r="AA6" s="66" t="s">
        <v>32</v>
      </c>
      <c r="AB6" s="66" t="s">
        <v>32</v>
      </c>
    </row>
    <row r="7" spans="1:28" ht="27.6" customHeight="1">
      <c r="A7" s="89" t="s">
        <v>111</v>
      </c>
      <c r="B7">
        <f t="shared" ref="B7:B70" ca="1" si="0">LEN(INDIRECT(ADDRESS(ROW() + (0),COLUMN() + (-1))))</f>
        <v>58</v>
      </c>
      <c r="C7" s="89" t="s">
        <v>113</v>
      </c>
      <c r="E7" s="89" t="s">
        <v>114</v>
      </c>
      <c r="G7" s="75">
        <v>1</v>
      </c>
      <c r="H7" s="89">
        <v>9511.7000000000007</v>
      </c>
      <c r="I7" s="89" t="s">
        <v>116</v>
      </c>
      <c r="J7" s="66" t="str">
        <f t="shared" ref="J7:J70" ca="1" si="1">IF(INDIRECT(ADDRESS(ROW() + (0),COLUMN() + (1)))="Agregar cuotas", IF(("14%")="", "-", "14%"), IF(INDIRECT(ADDRESS(ROW() + (0),COLUMN() + (1)))="No agregar cuotas", IF(("14%")="", "-", "14%"), "-"))</f>
        <v>14%</v>
      </c>
      <c r="K7" t="s">
        <v>59</v>
      </c>
      <c r="L7" s="66" t="str">
        <f t="shared" ref="L7:L70" ca="1" si="2">IF(INDIRECT(ADDRESS(ROW() + (0),COLUMN() + (-1)))="Agregar cuotas", IF(("13.9%")="", "Sin costo", "13.9%"), IF(INDIRECT(ADDRESS(ROW() + (0),COLUMN() + (-1)))="No agregar cuotas", IF(("")="", "Sin costo", ""), "-"))</f>
        <v>Sin costo</v>
      </c>
      <c r="M7" t="s">
        <v>64</v>
      </c>
      <c r="N7" t="s">
        <v>67</v>
      </c>
      <c r="O7" t="s">
        <v>72</v>
      </c>
      <c r="P7" t="s">
        <v>75</v>
      </c>
      <c r="Q7" s="89">
        <v>3</v>
      </c>
      <c r="R7" t="s">
        <v>82</v>
      </c>
      <c r="S7" t="s">
        <v>118</v>
      </c>
      <c r="T7" t="s">
        <v>119</v>
      </c>
      <c r="U7" t="s">
        <v>90</v>
      </c>
      <c r="V7" t="s">
        <v>100</v>
      </c>
      <c r="W7" t="s">
        <v>100</v>
      </c>
      <c r="X7" t="s">
        <v>100</v>
      </c>
      <c r="Y7" t="s">
        <v>100</v>
      </c>
      <c r="Z7" s="99" t="str">
        <f t="shared" ref="Z7:Z70" ca="1" si="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7" s="101" t="b">
        <f t="shared" ref="AA7:AA70" ca="1" si="4">IF(TRIM(INDIRECT("A"&amp;ROW())) &lt;&gt; "",FALSE,"")</f>
        <v>0</v>
      </c>
    </row>
    <row r="8" spans="1:28" ht="27.6" customHeight="1">
      <c r="A8" s="89" t="s">
        <v>112</v>
      </c>
      <c r="B8">
        <f t="shared" ca="1" si="0"/>
        <v>44</v>
      </c>
      <c r="C8" s="89" t="s">
        <v>36</v>
      </c>
      <c r="E8" s="89" t="s">
        <v>115</v>
      </c>
      <c r="G8" s="75">
        <v>1</v>
      </c>
      <c r="H8" s="89">
        <v>16003.05</v>
      </c>
      <c r="I8" s="89" t="s">
        <v>117</v>
      </c>
      <c r="J8" s="66" t="str">
        <f t="shared" ca="1" si="1"/>
        <v>14%</v>
      </c>
      <c r="K8" t="s">
        <v>59</v>
      </c>
      <c r="L8" s="66" t="str">
        <f t="shared" ca="1" si="2"/>
        <v>Sin costo</v>
      </c>
      <c r="M8" t="s">
        <v>64</v>
      </c>
      <c r="N8" t="s">
        <v>67</v>
      </c>
      <c r="O8" t="s">
        <v>72</v>
      </c>
      <c r="P8" t="s">
        <v>75</v>
      </c>
      <c r="Q8" s="89">
        <v>3</v>
      </c>
      <c r="R8" t="s">
        <v>82</v>
      </c>
      <c r="S8" t="s">
        <v>118</v>
      </c>
      <c r="T8" t="s">
        <v>120</v>
      </c>
      <c r="U8" t="s">
        <v>90</v>
      </c>
      <c r="V8" t="s">
        <v>100</v>
      </c>
      <c r="W8" t="s">
        <v>100</v>
      </c>
      <c r="X8" t="s">
        <v>100</v>
      </c>
      <c r="Y8" t="s">
        <v>100</v>
      </c>
      <c r="Z8" s="99" t="str">
        <f t="shared" ca="1" si="3"/>
        <v/>
      </c>
      <c r="AA8" s="101" t="b">
        <f t="shared" ca="1" si="4"/>
        <v>0</v>
      </c>
    </row>
    <row r="9" spans="1:28" ht="27.6" customHeight="1">
      <c r="B9">
        <f t="shared" ca="1" si="0"/>
        <v>0</v>
      </c>
      <c r="C9" t="s">
        <v>36</v>
      </c>
      <c r="G9" s="75">
        <v>1</v>
      </c>
      <c r="J9" s="66" t="str">
        <f t="shared" ca="1" si="1"/>
        <v>14%</v>
      </c>
      <c r="K9" t="s">
        <v>59</v>
      </c>
      <c r="L9" s="66" t="str">
        <f t="shared" ca="1" si="2"/>
        <v>Sin costo</v>
      </c>
      <c r="M9" t="s">
        <v>64</v>
      </c>
      <c r="N9" t="s">
        <v>66</v>
      </c>
      <c r="O9" t="s">
        <v>66</v>
      </c>
      <c r="P9" t="s">
        <v>66</v>
      </c>
      <c r="R9" t="s">
        <v>66</v>
      </c>
      <c r="U9" t="s">
        <v>90</v>
      </c>
      <c r="V9" t="s">
        <v>66</v>
      </c>
      <c r="W9" t="s">
        <v>66</v>
      </c>
      <c r="X9" t="s">
        <v>66</v>
      </c>
      <c r="Y9" t="s">
        <v>66</v>
      </c>
      <c r="Z9" s="99" t="str">
        <f t="shared" ca="1" si="3"/>
        <v/>
      </c>
      <c r="AA9" s="101" t="str">
        <f t="shared" ca="1" si="4"/>
        <v/>
      </c>
    </row>
    <row r="10" spans="1:28" ht="27.6" customHeight="1">
      <c r="B10">
        <f t="shared" ca="1" si="0"/>
        <v>0</v>
      </c>
      <c r="C10" t="s">
        <v>36</v>
      </c>
      <c r="G10" s="75">
        <v>1</v>
      </c>
      <c r="J10" s="66" t="str">
        <f t="shared" ca="1" si="1"/>
        <v>14%</v>
      </c>
      <c r="K10" t="s">
        <v>59</v>
      </c>
      <c r="L10" s="66" t="str">
        <f t="shared" ca="1" si="2"/>
        <v>Sin costo</v>
      </c>
      <c r="M10" t="s">
        <v>64</v>
      </c>
      <c r="N10" t="s">
        <v>66</v>
      </c>
      <c r="O10" t="s">
        <v>66</v>
      </c>
      <c r="P10" t="s">
        <v>66</v>
      </c>
      <c r="R10" t="s">
        <v>66</v>
      </c>
      <c r="U10" t="s">
        <v>90</v>
      </c>
      <c r="V10" t="s">
        <v>66</v>
      </c>
      <c r="W10" t="s">
        <v>66</v>
      </c>
      <c r="X10" t="s">
        <v>66</v>
      </c>
      <c r="Y10" t="s">
        <v>66</v>
      </c>
      <c r="Z10" s="99" t="str">
        <f t="shared" ca="1" si="3"/>
        <v/>
      </c>
      <c r="AA10" s="101" t="str">
        <f t="shared" ca="1" si="4"/>
        <v/>
      </c>
    </row>
    <row r="11" spans="1:28" ht="27.6" customHeight="1">
      <c r="B11">
        <f t="shared" ca="1" si="0"/>
        <v>0</v>
      </c>
      <c r="C11" t="s">
        <v>36</v>
      </c>
      <c r="G11" s="75">
        <v>1</v>
      </c>
      <c r="J11" s="66" t="str">
        <f t="shared" ca="1" si="1"/>
        <v>14%</v>
      </c>
      <c r="K11" t="s">
        <v>59</v>
      </c>
      <c r="L11" s="66" t="str">
        <f t="shared" ca="1" si="2"/>
        <v>Sin costo</v>
      </c>
      <c r="M11" t="s">
        <v>64</v>
      </c>
      <c r="N11" t="s">
        <v>66</v>
      </c>
      <c r="O11" t="s">
        <v>66</v>
      </c>
      <c r="P11" t="s">
        <v>66</v>
      </c>
      <c r="R11" t="s">
        <v>66</v>
      </c>
      <c r="U11" t="s">
        <v>90</v>
      </c>
      <c r="V11" t="s">
        <v>66</v>
      </c>
      <c r="W11" t="s">
        <v>66</v>
      </c>
      <c r="X11" t="s">
        <v>66</v>
      </c>
      <c r="Y11" t="s">
        <v>66</v>
      </c>
      <c r="Z11" s="99" t="str">
        <f t="shared" ca="1" si="3"/>
        <v/>
      </c>
      <c r="AA11" s="101" t="str">
        <f t="shared" ca="1" si="4"/>
        <v/>
      </c>
    </row>
    <row r="12" spans="1:28" ht="27.6" customHeight="1">
      <c r="B12">
        <f t="shared" ca="1" si="0"/>
        <v>0</v>
      </c>
      <c r="C12" t="s">
        <v>36</v>
      </c>
      <c r="G12" s="75">
        <v>1</v>
      </c>
      <c r="J12" s="66" t="str">
        <f t="shared" ca="1" si="1"/>
        <v>14%</v>
      </c>
      <c r="K12" t="s">
        <v>59</v>
      </c>
      <c r="L12" s="66" t="str">
        <f t="shared" ca="1" si="2"/>
        <v>Sin costo</v>
      </c>
      <c r="M12" t="s">
        <v>64</v>
      </c>
      <c r="N12" t="s">
        <v>66</v>
      </c>
      <c r="O12" t="s">
        <v>66</v>
      </c>
      <c r="P12" t="s">
        <v>66</v>
      </c>
      <c r="R12" t="s">
        <v>66</v>
      </c>
      <c r="U12" t="s">
        <v>90</v>
      </c>
      <c r="V12" t="s">
        <v>66</v>
      </c>
      <c r="W12" t="s">
        <v>66</v>
      </c>
      <c r="X12" t="s">
        <v>66</v>
      </c>
      <c r="Y12" t="s">
        <v>66</v>
      </c>
      <c r="Z12" s="99" t="str">
        <f t="shared" ca="1" si="3"/>
        <v/>
      </c>
      <c r="AA12" s="101" t="str">
        <f t="shared" ca="1" si="4"/>
        <v/>
      </c>
    </row>
    <row r="13" spans="1:28" ht="27.6" customHeight="1">
      <c r="B13">
        <f t="shared" ca="1" si="0"/>
        <v>0</v>
      </c>
      <c r="C13" t="s">
        <v>36</v>
      </c>
      <c r="G13" s="75">
        <v>1</v>
      </c>
      <c r="J13" s="66" t="str">
        <f t="shared" ca="1" si="1"/>
        <v>14%</v>
      </c>
      <c r="K13" t="s">
        <v>59</v>
      </c>
      <c r="L13" s="66" t="str">
        <f t="shared" ca="1" si="2"/>
        <v>Sin costo</v>
      </c>
      <c r="M13" t="s">
        <v>64</v>
      </c>
      <c r="N13" t="s">
        <v>66</v>
      </c>
      <c r="O13" t="s">
        <v>66</v>
      </c>
      <c r="P13" t="s">
        <v>66</v>
      </c>
      <c r="R13" t="s">
        <v>66</v>
      </c>
      <c r="U13" t="s">
        <v>90</v>
      </c>
      <c r="V13" t="s">
        <v>66</v>
      </c>
      <c r="W13" t="s">
        <v>66</v>
      </c>
      <c r="X13" t="s">
        <v>66</v>
      </c>
      <c r="Y13" t="s">
        <v>66</v>
      </c>
      <c r="Z13" s="99" t="str">
        <f t="shared" ca="1" si="3"/>
        <v/>
      </c>
      <c r="AA13" s="101" t="str">
        <f t="shared" ca="1" si="4"/>
        <v/>
      </c>
    </row>
    <row r="14" spans="1:28" ht="27.6" customHeight="1">
      <c r="B14">
        <f t="shared" ca="1" si="0"/>
        <v>0</v>
      </c>
      <c r="C14" t="s">
        <v>36</v>
      </c>
      <c r="G14" s="75">
        <v>1</v>
      </c>
      <c r="J14" s="66" t="str">
        <f t="shared" ca="1" si="1"/>
        <v>14%</v>
      </c>
      <c r="K14" t="s">
        <v>59</v>
      </c>
      <c r="L14" s="66" t="str">
        <f t="shared" ca="1" si="2"/>
        <v>Sin costo</v>
      </c>
      <c r="M14" t="s">
        <v>64</v>
      </c>
      <c r="N14" t="s">
        <v>66</v>
      </c>
      <c r="O14" t="s">
        <v>66</v>
      </c>
      <c r="P14" t="s">
        <v>66</v>
      </c>
      <c r="R14" t="s">
        <v>66</v>
      </c>
      <c r="U14" t="s">
        <v>90</v>
      </c>
      <c r="V14" t="s">
        <v>66</v>
      </c>
      <c r="W14" t="s">
        <v>66</v>
      </c>
      <c r="X14" t="s">
        <v>66</v>
      </c>
      <c r="Y14" t="s">
        <v>66</v>
      </c>
      <c r="Z14" s="99" t="str">
        <f t="shared" ca="1" si="3"/>
        <v/>
      </c>
      <c r="AA14" s="101" t="str">
        <f t="shared" ca="1" si="4"/>
        <v/>
      </c>
    </row>
    <row r="15" spans="1:28" ht="27.6" customHeight="1">
      <c r="B15">
        <f t="shared" ca="1" si="0"/>
        <v>0</v>
      </c>
      <c r="C15" t="s">
        <v>36</v>
      </c>
      <c r="G15" s="75">
        <v>1</v>
      </c>
      <c r="J15" s="66" t="str">
        <f t="shared" ca="1" si="1"/>
        <v>14%</v>
      </c>
      <c r="K15" t="s">
        <v>59</v>
      </c>
      <c r="L15" s="66" t="str">
        <f t="shared" ca="1" si="2"/>
        <v>Sin costo</v>
      </c>
      <c r="M15" t="s">
        <v>64</v>
      </c>
      <c r="N15" t="s">
        <v>66</v>
      </c>
      <c r="O15" t="s">
        <v>66</v>
      </c>
      <c r="P15" t="s">
        <v>66</v>
      </c>
      <c r="R15" t="s">
        <v>66</v>
      </c>
      <c r="U15" t="s">
        <v>90</v>
      </c>
      <c r="V15" t="s">
        <v>66</v>
      </c>
      <c r="W15" t="s">
        <v>66</v>
      </c>
      <c r="X15" t="s">
        <v>66</v>
      </c>
      <c r="Y15" t="s">
        <v>66</v>
      </c>
      <c r="Z15" s="99" t="str">
        <f t="shared" ca="1" si="3"/>
        <v/>
      </c>
      <c r="AA15" s="101" t="str">
        <f t="shared" ca="1" si="4"/>
        <v/>
      </c>
    </row>
    <row r="16" spans="1:28" ht="27.6" customHeight="1">
      <c r="B16">
        <f t="shared" ca="1" si="0"/>
        <v>0</v>
      </c>
      <c r="C16" t="s">
        <v>36</v>
      </c>
      <c r="G16" s="75">
        <v>1</v>
      </c>
      <c r="J16" s="66" t="str">
        <f t="shared" ca="1" si="1"/>
        <v>14%</v>
      </c>
      <c r="K16" t="s">
        <v>59</v>
      </c>
      <c r="L16" s="66" t="str">
        <f t="shared" ca="1" si="2"/>
        <v>Sin costo</v>
      </c>
      <c r="M16" t="s">
        <v>64</v>
      </c>
      <c r="N16" t="s">
        <v>66</v>
      </c>
      <c r="O16" t="s">
        <v>66</v>
      </c>
      <c r="P16" t="s">
        <v>66</v>
      </c>
      <c r="R16" t="s">
        <v>66</v>
      </c>
      <c r="U16" t="s">
        <v>90</v>
      </c>
      <c r="V16" t="s">
        <v>66</v>
      </c>
      <c r="W16" t="s">
        <v>66</v>
      </c>
      <c r="X16" t="s">
        <v>66</v>
      </c>
      <c r="Y16" t="s">
        <v>66</v>
      </c>
      <c r="Z16" s="99" t="str">
        <f t="shared" ca="1" si="3"/>
        <v/>
      </c>
      <c r="AA16" s="101" t="str">
        <f t="shared" ca="1" si="4"/>
        <v/>
      </c>
    </row>
    <row r="17" spans="2:27" ht="27.6" customHeight="1">
      <c r="B17">
        <f t="shared" ca="1" si="0"/>
        <v>0</v>
      </c>
      <c r="C17" t="s">
        <v>36</v>
      </c>
      <c r="G17" s="75">
        <v>1</v>
      </c>
      <c r="J17" s="66" t="str">
        <f t="shared" ca="1" si="1"/>
        <v>14%</v>
      </c>
      <c r="K17" t="s">
        <v>59</v>
      </c>
      <c r="L17" s="66" t="str">
        <f t="shared" ca="1" si="2"/>
        <v>Sin costo</v>
      </c>
      <c r="M17" t="s">
        <v>64</v>
      </c>
      <c r="N17" t="s">
        <v>66</v>
      </c>
      <c r="O17" t="s">
        <v>66</v>
      </c>
      <c r="P17" t="s">
        <v>66</v>
      </c>
      <c r="R17" t="s">
        <v>66</v>
      </c>
      <c r="U17" t="s">
        <v>90</v>
      </c>
      <c r="V17" t="s">
        <v>66</v>
      </c>
      <c r="W17" t="s">
        <v>66</v>
      </c>
      <c r="X17" t="s">
        <v>66</v>
      </c>
      <c r="Y17" t="s">
        <v>66</v>
      </c>
      <c r="Z17" s="99" t="str">
        <f t="shared" ca="1" si="3"/>
        <v/>
      </c>
      <c r="AA17" s="101" t="str">
        <f t="shared" ca="1" si="4"/>
        <v/>
      </c>
    </row>
    <row r="18" spans="2:27" ht="27.6" customHeight="1">
      <c r="B18">
        <f t="shared" ca="1" si="0"/>
        <v>0</v>
      </c>
      <c r="C18" t="s">
        <v>36</v>
      </c>
      <c r="G18" s="75">
        <v>1</v>
      </c>
      <c r="J18" s="66" t="str">
        <f t="shared" ca="1" si="1"/>
        <v>14%</v>
      </c>
      <c r="K18" t="s">
        <v>59</v>
      </c>
      <c r="L18" s="66" t="str">
        <f t="shared" ca="1" si="2"/>
        <v>Sin costo</v>
      </c>
      <c r="M18" t="s">
        <v>64</v>
      </c>
      <c r="N18" t="s">
        <v>66</v>
      </c>
      <c r="O18" t="s">
        <v>66</v>
      </c>
      <c r="P18" t="s">
        <v>66</v>
      </c>
      <c r="R18" t="s">
        <v>66</v>
      </c>
      <c r="U18" t="s">
        <v>90</v>
      </c>
      <c r="V18" t="s">
        <v>66</v>
      </c>
      <c r="W18" t="s">
        <v>66</v>
      </c>
      <c r="X18" t="s">
        <v>66</v>
      </c>
      <c r="Y18" t="s">
        <v>66</v>
      </c>
      <c r="Z18" s="99" t="str">
        <f t="shared" ca="1" si="3"/>
        <v/>
      </c>
      <c r="AA18" s="101" t="str">
        <f t="shared" ca="1" si="4"/>
        <v/>
      </c>
    </row>
    <row r="19" spans="2:27" ht="27.6" customHeight="1">
      <c r="B19">
        <f t="shared" ca="1" si="0"/>
        <v>0</v>
      </c>
      <c r="C19" t="s">
        <v>36</v>
      </c>
      <c r="G19" s="75">
        <v>1</v>
      </c>
      <c r="J19" s="66" t="str">
        <f t="shared" ca="1" si="1"/>
        <v>14%</v>
      </c>
      <c r="K19" t="s">
        <v>59</v>
      </c>
      <c r="L19" s="66" t="str">
        <f t="shared" ca="1" si="2"/>
        <v>Sin costo</v>
      </c>
      <c r="M19" t="s">
        <v>64</v>
      </c>
      <c r="N19" t="s">
        <v>66</v>
      </c>
      <c r="O19" t="s">
        <v>66</v>
      </c>
      <c r="P19" t="s">
        <v>66</v>
      </c>
      <c r="R19" t="s">
        <v>66</v>
      </c>
      <c r="U19" t="s">
        <v>90</v>
      </c>
      <c r="V19" t="s">
        <v>66</v>
      </c>
      <c r="W19" t="s">
        <v>66</v>
      </c>
      <c r="X19" t="s">
        <v>66</v>
      </c>
      <c r="Y19" t="s">
        <v>66</v>
      </c>
      <c r="Z19" s="99" t="str">
        <f t="shared" ca="1" si="3"/>
        <v/>
      </c>
      <c r="AA19" s="101" t="str">
        <f t="shared" ca="1" si="4"/>
        <v/>
      </c>
    </row>
    <row r="20" spans="2:27" ht="27.6" customHeight="1">
      <c r="B20">
        <f t="shared" ca="1" si="0"/>
        <v>0</v>
      </c>
      <c r="C20" t="s">
        <v>36</v>
      </c>
      <c r="G20" s="75">
        <v>1</v>
      </c>
      <c r="J20" s="66" t="str">
        <f t="shared" ca="1" si="1"/>
        <v>14%</v>
      </c>
      <c r="K20" t="s">
        <v>59</v>
      </c>
      <c r="L20" s="66" t="str">
        <f t="shared" ca="1" si="2"/>
        <v>Sin costo</v>
      </c>
      <c r="M20" t="s">
        <v>64</v>
      </c>
      <c r="N20" t="s">
        <v>66</v>
      </c>
      <c r="O20" t="s">
        <v>66</v>
      </c>
      <c r="P20" t="s">
        <v>66</v>
      </c>
      <c r="R20" t="s">
        <v>66</v>
      </c>
      <c r="U20" t="s">
        <v>90</v>
      </c>
      <c r="V20" t="s">
        <v>66</v>
      </c>
      <c r="W20" t="s">
        <v>66</v>
      </c>
      <c r="X20" t="s">
        <v>66</v>
      </c>
      <c r="Y20" t="s">
        <v>66</v>
      </c>
      <c r="Z20" s="99" t="str">
        <f t="shared" ca="1" si="3"/>
        <v/>
      </c>
      <c r="AA20" s="101" t="str">
        <f t="shared" ca="1" si="4"/>
        <v/>
      </c>
    </row>
    <row r="21" spans="2:27" ht="27.6" customHeight="1">
      <c r="B21">
        <f t="shared" ca="1" si="0"/>
        <v>0</v>
      </c>
      <c r="C21" t="s">
        <v>36</v>
      </c>
      <c r="G21" s="75">
        <v>1</v>
      </c>
      <c r="J21" s="66" t="str">
        <f t="shared" ca="1" si="1"/>
        <v>14%</v>
      </c>
      <c r="K21" t="s">
        <v>59</v>
      </c>
      <c r="L21" s="66" t="str">
        <f t="shared" ca="1" si="2"/>
        <v>Sin costo</v>
      </c>
      <c r="M21" t="s">
        <v>64</v>
      </c>
      <c r="N21" t="s">
        <v>66</v>
      </c>
      <c r="O21" t="s">
        <v>66</v>
      </c>
      <c r="P21" t="s">
        <v>66</v>
      </c>
      <c r="R21" t="s">
        <v>66</v>
      </c>
      <c r="U21" t="s">
        <v>90</v>
      </c>
      <c r="V21" t="s">
        <v>66</v>
      </c>
      <c r="W21" t="s">
        <v>66</v>
      </c>
      <c r="X21" t="s">
        <v>66</v>
      </c>
      <c r="Y21" t="s">
        <v>66</v>
      </c>
      <c r="Z21" s="99" t="str">
        <f t="shared" ca="1" si="3"/>
        <v/>
      </c>
      <c r="AA21" s="101" t="str">
        <f t="shared" ca="1" si="4"/>
        <v/>
      </c>
    </row>
    <row r="22" spans="2:27" ht="27.6" customHeight="1">
      <c r="B22">
        <f t="shared" ca="1" si="0"/>
        <v>0</v>
      </c>
      <c r="C22" t="s">
        <v>36</v>
      </c>
      <c r="G22" s="75">
        <v>1</v>
      </c>
      <c r="J22" s="66" t="str">
        <f t="shared" ca="1" si="1"/>
        <v>14%</v>
      </c>
      <c r="K22" t="s">
        <v>59</v>
      </c>
      <c r="L22" s="66" t="str">
        <f t="shared" ca="1" si="2"/>
        <v>Sin costo</v>
      </c>
      <c r="M22" t="s">
        <v>64</v>
      </c>
      <c r="N22" t="s">
        <v>66</v>
      </c>
      <c r="O22" t="s">
        <v>66</v>
      </c>
      <c r="P22" t="s">
        <v>66</v>
      </c>
      <c r="R22" t="s">
        <v>66</v>
      </c>
      <c r="U22" t="s">
        <v>90</v>
      </c>
      <c r="V22" t="s">
        <v>66</v>
      </c>
      <c r="W22" t="s">
        <v>66</v>
      </c>
      <c r="X22" t="s">
        <v>66</v>
      </c>
      <c r="Y22" t="s">
        <v>66</v>
      </c>
      <c r="Z22" s="99" t="str">
        <f t="shared" ca="1" si="3"/>
        <v/>
      </c>
      <c r="AA22" s="101" t="str">
        <f t="shared" ca="1" si="4"/>
        <v/>
      </c>
    </row>
    <row r="23" spans="2:27" ht="27.6" customHeight="1">
      <c r="B23">
        <f t="shared" ca="1" si="0"/>
        <v>0</v>
      </c>
      <c r="C23" t="s">
        <v>36</v>
      </c>
      <c r="G23" s="75">
        <v>1</v>
      </c>
      <c r="J23" s="66" t="str">
        <f t="shared" ca="1" si="1"/>
        <v>14%</v>
      </c>
      <c r="K23" t="s">
        <v>59</v>
      </c>
      <c r="L23" s="66" t="str">
        <f t="shared" ca="1" si="2"/>
        <v>Sin costo</v>
      </c>
      <c r="M23" t="s">
        <v>64</v>
      </c>
      <c r="N23" t="s">
        <v>66</v>
      </c>
      <c r="O23" t="s">
        <v>66</v>
      </c>
      <c r="P23" t="s">
        <v>66</v>
      </c>
      <c r="R23" t="s">
        <v>66</v>
      </c>
      <c r="U23" t="s">
        <v>90</v>
      </c>
      <c r="V23" t="s">
        <v>66</v>
      </c>
      <c r="W23" t="s">
        <v>66</v>
      </c>
      <c r="X23" t="s">
        <v>66</v>
      </c>
      <c r="Y23" t="s">
        <v>66</v>
      </c>
      <c r="Z23" s="99" t="str">
        <f t="shared" ca="1" si="3"/>
        <v/>
      </c>
      <c r="AA23" s="101" t="str">
        <f t="shared" ca="1" si="4"/>
        <v/>
      </c>
    </row>
    <row r="24" spans="2:27" ht="27.6" customHeight="1">
      <c r="B24">
        <f t="shared" ca="1" si="0"/>
        <v>0</v>
      </c>
      <c r="C24" t="s">
        <v>36</v>
      </c>
      <c r="G24" s="75">
        <v>1</v>
      </c>
      <c r="J24" s="66" t="str">
        <f t="shared" ca="1" si="1"/>
        <v>14%</v>
      </c>
      <c r="K24" t="s">
        <v>59</v>
      </c>
      <c r="L24" s="66" t="str">
        <f t="shared" ca="1" si="2"/>
        <v>Sin costo</v>
      </c>
      <c r="M24" t="s">
        <v>64</v>
      </c>
      <c r="N24" t="s">
        <v>66</v>
      </c>
      <c r="O24" t="s">
        <v>66</v>
      </c>
      <c r="P24" t="s">
        <v>66</v>
      </c>
      <c r="R24" t="s">
        <v>66</v>
      </c>
      <c r="U24" t="s">
        <v>90</v>
      </c>
      <c r="V24" t="s">
        <v>66</v>
      </c>
      <c r="W24" t="s">
        <v>66</v>
      </c>
      <c r="X24" t="s">
        <v>66</v>
      </c>
      <c r="Y24" t="s">
        <v>66</v>
      </c>
      <c r="Z24" s="99" t="str">
        <f t="shared" ca="1" si="3"/>
        <v/>
      </c>
      <c r="AA24" s="101" t="str">
        <f t="shared" ca="1" si="4"/>
        <v/>
      </c>
    </row>
    <row r="25" spans="2:27" ht="27.6" customHeight="1">
      <c r="B25">
        <f t="shared" ca="1" si="0"/>
        <v>0</v>
      </c>
      <c r="C25" t="s">
        <v>36</v>
      </c>
      <c r="G25" s="75">
        <v>1</v>
      </c>
      <c r="J25" s="66" t="str">
        <f t="shared" ca="1" si="1"/>
        <v>14%</v>
      </c>
      <c r="K25" t="s">
        <v>59</v>
      </c>
      <c r="L25" s="66" t="str">
        <f t="shared" ca="1" si="2"/>
        <v>Sin costo</v>
      </c>
      <c r="M25" t="s">
        <v>64</v>
      </c>
      <c r="N25" t="s">
        <v>66</v>
      </c>
      <c r="O25" t="s">
        <v>66</v>
      </c>
      <c r="P25" t="s">
        <v>66</v>
      </c>
      <c r="R25" t="s">
        <v>66</v>
      </c>
      <c r="U25" t="s">
        <v>90</v>
      </c>
      <c r="V25" t="s">
        <v>66</v>
      </c>
      <c r="W25" t="s">
        <v>66</v>
      </c>
      <c r="X25" t="s">
        <v>66</v>
      </c>
      <c r="Y25" t="s">
        <v>66</v>
      </c>
      <c r="Z25" s="99" t="str">
        <f t="shared" ca="1" si="3"/>
        <v/>
      </c>
      <c r="AA25" s="101" t="str">
        <f t="shared" ca="1" si="4"/>
        <v/>
      </c>
    </row>
    <row r="26" spans="2:27" ht="27.6" customHeight="1">
      <c r="B26">
        <f t="shared" ca="1" si="0"/>
        <v>0</v>
      </c>
      <c r="C26" t="s">
        <v>36</v>
      </c>
      <c r="G26" s="75">
        <v>1</v>
      </c>
      <c r="J26" s="66" t="str">
        <f t="shared" ca="1" si="1"/>
        <v>14%</v>
      </c>
      <c r="K26" t="s">
        <v>59</v>
      </c>
      <c r="L26" s="66" t="str">
        <f t="shared" ca="1" si="2"/>
        <v>Sin costo</v>
      </c>
      <c r="M26" t="s">
        <v>64</v>
      </c>
      <c r="N26" t="s">
        <v>66</v>
      </c>
      <c r="O26" t="s">
        <v>66</v>
      </c>
      <c r="P26" t="s">
        <v>66</v>
      </c>
      <c r="R26" t="s">
        <v>66</v>
      </c>
      <c r="U26" t="s">
        <v>90</v>
      </c>
      <c r="V26" t="s">
        <v>66</v>
      </c>
      <c r="W26" t="s">
        <v>66</v>
      </c>
      <c r="X26" t="s">
        <v>66</v>
      </c>
      <c r="Y26" t="s">
        <v>66</v>
      </c>
      <c r="Z26" s="99" t="str">
        <f t="shared" ca="1" si="3"/>
        <v/>
      </c>
      <c r="AA26" s="101" t="str">
        <f t="shared" ca="1" si="4"/>
        <v/>
      </c>
    </row>
    <row r="27" spans="2:27" ht="27.6" customHeight="1">
      <c r="B27">
        <f t="shared" ca="1" si="0"/>
        <v>0</v>
      </c>
      <c r="C27" t="s">
        <v>36</v>
      </c>
      <c r="G27" s="75">
        <v>1</v>
      </c>
      <c r="J27" s="66" t="str">
        <f t="shared" ca="1" si="1"/>
        <v>14%</v>
      </c>
      <c r="K27" t="s">
        <v>59</v>
      </c>
      <c r="L27" s="66" t="str">
        <f t="shared" ca="1" si="2"/>
        <v>Sin costo</v>
      </c>
      <c r="M27" t="s">
        <v>64</v>
      </c>
      <c r="N27" t="s">
        <v>66</v>
      </c>
      <c r="O27" t="s">
        <v>66</v>
      </c>
      <c r="P27" t="s">
        <v>66</v>
      </c>
      <c r="R27" t="s">
        <v>66</v>
      </c>
      <c r="U27" t="s">
        <v>90</v>
      </c>
      <c r="V27" t="s">
        <v>66</v>
      </c>
      <c r="W27" t="s">
        <v>66</v>
      </c>
      <c r="X27" t="s">
        <v>66</v>
      </c>
      <c r="Y27" t="s">
        <v>66</v>
      </c>
      <c r="Z27" s="99" t="str">
        <f t="shared" ca="1" si="3"/>
        <v/>
      </c>
      <c r="AA27" s="101" t="str">
        <f t="shared" ca="1" si="4"/>
        <v/>
      </c>
    </row>
    <row r="28" spans="2:27" ht="27.6" customHeight="1">
      <c r="B28">
        <f t="shared" ca="1" si="0"/>
        <v>0</v>
      </c>
      <c r="C28" t="s">
        <v>36</v>
      </c>
      <c r="G28" s="75">
        <v>1</v>
      </c>
      <c r="J28" s="66" t="str">
        <f t="shared" ca="1" si="1"/>
        <v>14%</v>
      </c>
      <c r="K28" t="s">
        <v>59</v>
      </c>
      <c r="L28" s="66" t="str">
        <f t="shared" ca="1" si="2"/>
        <v>Sin costo</v>
      </c>
      <c r="M28" t="s">
        <v>64</v>
      </c>
      <c r="N28" t="s">
        <v>66</v>
      </c>
      <c r="O28" t="s">
        <v>66</v>
      </c>
      <c r="P28" t="s">
        <v>66</v>
      </c>
      <c r="R28" t="s">
        <v>66</v>
      </c>
      <c r="U28" t="s">
        <v>90</v>
      </c>
      <c r="V28" t="s">
        <v>66</v>
      </c>
      <c r="W28" t="s">
        <v>66</v>
      </c>
      <c r="X28" t="s">
        <v>66</v>
      </c>
      <c r="Y28" t="s">
        <v>66</v>
      </c>
      <c r="Z28" s="99" t="str">
        <f t="shared" ca="1" si="3"/>
        <v/>
      </c>
      <c r="AA28" s="101" t="str">
        <f t="shared" ca="1" si="4"/>
        <v/>
      </c>
    </row>
    <row r="29" spans="2:27" ht="27.6" customHeight="1">
      <c r="B29">
        <f t="shared" ca="1" si="0"/>
        <v>0</v>
      </c>
      <c r="C29" t="s">
        <v>36</v>
      </c>
      <c r="G29" s="75">
        <v>1</v>
      </c>
      <c r="J29" s="66" t="str">
        <f t="shared" ca="1" si="1"/>
        <v>14%</v>
      </c>
      <c r="K29" t="s">
        <v>59</v>
      </c>
      <c r="L29" s="66" t="str">
        <f t="shared" ca="1" si="2"/>
        <v>Sin costo</v>
      </c>
      <c r="M29" t="s">
        <v>64</v>
      </c>
      <c r="N29" t="s">
        <v>66</v>
      </c>
      <c r="O29" t="s">
        <v>66</v>
      </c>
      <c r="P29" t="s">
        <v>66</v>
      </c>
      <c r="R29" t="s">
        <v>66</v>
      </c>
      <c r="U29" t="s">
        <v>90</v>
      </c>
      <c r="V29" t="s">
        <v>66</v>
      </c>
      <c r="W29" t="s">
        <v>66</v>
      </c>
      <c r="X29" t="s">
        <v>66</v>
      </c>
      <c r="Y29" t="s">
        <v>66</v>
      </c>
      <c r="Z29" s="99" t="str">
        <f t="shared" ca="1" si="3"/>
        <v/>
      </c>
      <c r="AA29" s="101" t="str">
        <f t="shared" ca="1" si="4"/>
        <v/>
      </c>
    </row>
    <row r="30" spans="2:27" ht="27.6" customHeight="1">
      <c r="B30">
        <f t="shared" ca="1" si="0"/>
        <v>0</v>
      </c>
      <c r="C30" t="s">
        <v>36</v>
      </c>
      <c r="G30" s="75">
        <v>1</v>
      </c>
      <c r="J30" s="66" t="str">
        <f t="shared" ca="1" si="1"/>
        <v>14%</v>
      </c>
      <c r="K30" t="s">
        <v>59</v>
      </c>
      <c r="L30" s="66" t="str">
        <f t="shared" ca="1" si="2"/>
        <v>Sin costo</v>
      </c>
      <c r="M30" t="s">
        <v>64</v>
      </c>
      <c r="N30" t="s">
        <v>66</v>
      </c>
      <c r="O30" t="s">
        <v>66</v>
      </c>
      <c r="P30" t="s">
        <v>66</v>
      </c>
      <c r="R30" t="s">
        <v>66</v>
      </c>
      <c r="U30" t="s">
        <v>90</v>
      </c>
      <c r="V30" t="s">
        <v>66</v>
      </c>
      <c r="W30" t="s">
        <v>66</v>
      </c>
      <c r="X30" t="s">
        <v>66</v>
      </c>
      <c r="Y30" t="s">
        <v>66</v>
      </c>
      <c r="Z30" s="99" t="str">
        <f t="shared" ca="1" si="3"/>
        <v/>
      </c>
      <c r="AA30" s="101" t="str">
        <f t="shared" ca="1" si="4"/>
        <v/>
      </c>
    </row>
    <row r="31" spans="2:27" ht="27.6" customHeight="1">
      <c r="B31">
        <f t="shared" ca="1" si="0"/>
        <v>0</v>
      </c>
      <c r="C31" t="s">
        <v>36</v>
      </c>
      <c r="G31" s="75">
        <v>1</v>
      </c>
      <c r="J31" s="66" t="str">
        <f t="shared" ca="1" si="1"/>
        <v>14%</v>
      </c>
      <c r="K31" t="s">
        <v>59</v>
      </c>
      <c r="L31" s="66" t="str">
        <f t="shared" ca="1" si="2"/>
        <v>Sin costo</v>
      </c>
      <c r="M31" t="s">
        <v>64</v>
      </c>
      <c r="N31" t="s">
        <v>66</v>
      </c>
      <c r="O31" t="s">
        <v>66</v>
      </c>
      <c r="P31" t="s">
        <v>66</v>
      </c>
      <c r="R31" t="s">
        <v>66</v>
      </c>
      <c r="U31" t="s">
        <v>90</v>
      </c>
      <c r="V31" t="s">
        <v>66</v>
      </c>
      <c r="W31" t="s">
        <v>66</v>
      </c>
      <c r="X31" t="s">
        <v>66</v>
      </c>
      <c r="Y31" t="s">
        <v>66</v>
      </c>
      <c r="Z31" s="99" t="str">
        <f t="shared" ca="1" si="3"/>
        <v/>
      </c>
      <c r="AA31" s="101" t="str">
        <f t="shared" ca="1" si="4"/>
        <v/>
      </c>
    </row>
    <row r="32" spans="2:27" ht="27.6" customHeight="1">
      <c r="B32">
        <f t="shared" ca="1" si="0"/>
        <v>0</v>
      </c>
      <c r="C32" t="s">
        <v>36</v>
      </c>
      <c r="G32" s="75">
        <v>1</v>
      </c>
      <c r="J32" s="66" t="str">
        <f t="shared" ca="1" si="1"/>
        <v>14%</v>
      </c>
      <c r="K32" t="s">
        <v>59</v>
      </c>
      <c r="L32" s="66" t="str">
        <f t="shared" ca="1" si="2"/>
        <v>Sin costo</v>
      </c>
      <c r="M32" t="s">
        <v>64</v>
      </c>
      <c r="N32" t="s">
        <v>66</v>
      </c>
      <c r="O32" t="s">
        <v>66</v>
      </c>
      <c r="P32" t="s">
        <v>66</v>
      </c>
      <c r="R32" t="s">
        <v>66</v>
      </c>
      <c r="U32" t="s">
        <v>90</v>
      </c>
      <c r="V32" t="s">
        <v>66</v>
      </c>
      <c r="W32" t="s">
        <v>66</v>
      </c>
      <c r="X32" t="s">
        <v>66</v>
      </c>
      <c r="Y32" t="s">
        <v>66</v>
      </c>
      <c r="Z32" s="99" t="str">
        <f t="shared" ca="1" si="3"/>
        <v/>
      </c>
      <c r="AA32" s="101" t="str">
        <f t="shared" ca="1" si="4"/>
        <v/>
      </c>
    </row>
    <row r="33" spans="2:27" ht="27.6" customHeight="1">
      <c r="B33">
        <f t="shared" ca="1" si="0"/>
        <v>0</v>
      </c>
      <c r="C33" t="s">
        <v>36</v>
      </c>
      <c r="G33" s="75">
        <v>1</v>
      </c>
      <c r="J33" s="66" t="str">
        <f t="shared" ca="1" si="1"/>
        <v>14%</v>
      </c>
      <c r="K33" t="s">
        <v>59</v>
      </c>
      <c r="L33" s="66" t="str">
        <f t="shared" ca="1" si="2"/>
        <v>Sin costo</v>
      </c>
      <c r="M33" t="s">
        <v>64</v>
      </c>
      <c r="N33" t="s">
        <v>66</v>
      </c>
      <c r="O33" t="s">
        <v>66</v>
      </c>
      <c r="P33" t="s">
        <v>66</v>
      </c>
      <c r="R33" t="s">
        <v>66</v>
      </c>
      <c r="U33" t="s">
        <v>90</v>
      </c>
      <c r="V33" t="s">
        <v>66</v>
      </c>
      <c r="W33" t="s">
        <v>66</v>
      </c>
      <c r="X33" t="s">
        <v>66</v>
      </c>
      <c r="Y33" t="s">
        <v>66</v>
      </c>
      <c r="Z33" s="99" t="str">
        <f t="shared" ca="1" si="3"/>
        <v/>
      </c>
      <c r="AA33" s="101" t="str">
        <f t="shared" ca="1" si="4"/>
        <v/>
      </c>
    </row>
    <row r="34" spans="2:27" ht="27.6" customHeight="1">
      <c r="B34">
        <f t="shared" ca="1" si="0"/>
        <v>0</v>
      </c>
      <c r="C34" t="s">
        <v>36</v>
      </c>
      <c r="G34" s="75">
        <v>1</v>
      </c>
      <c r="J34" s="66" t="str">
        <f t="shared" ca="1" si="1"/>
        <v>14%</v>
      </c>
      <c r="K34" t="s">
        <v>59</v>
      </c>
      <c r="L34" s="66" t="str">
        <f t="shared" ca="1" si="2"/>
        <v>Sin costo</v>
      </c>
      <c r="M34" t="s">
        <v>64</v>
      </c>
      <c r="N34" t="s">
        <v>66</v>
      </c>
      <c r="O34" t="s">
        <v>66</v>
      </c>
      <c r="P34" t="s">
        <v>66</v>
      </c>
      <c r="R34" t="s">
        <v>66</v>
      </c>
      <c r="U34" t="s">
        <v>90</v>
      </c>
      <c r="V34" t="s">
        <v>66</v>
      </c>
      <c r="W34" t="s">
        <v>66</v>
      </c>
      <c r="X34" t="s">
        <v>66</v>
      </c>
      <c r="Y34" t="s">
        <v>66</v>
      </c>
      <c r="Z34" s="99" t="str">
        <f t="shared" ca="1" si="3"/>
        <v/>
      </c>
      <c r="AA34" s="101" t="str">
        <f t="shared" ca="1" si="4"/>
        <v/>
      </c>
    </row>
    <row r="35" spans="2:27" ht="27.6" customHeight="1">
      <c r="B35">
        <f t="shared" ca="1" si="0"/>
        <v>0</v>
      </c>
      <c r="C35" t="s">
        <v>36</v>
      </c>
      <c r="G35" s="75">
        <v>1</v>
      </c>
      <c r="J35" s="66" t="str">
        <f t="shared" ca="1" si="1"/>
        <v>14%</v>
      </c>
      <c r="K35" t="s">
        <v>59</v>
      </c>
      <c r="L35" s="66" t="str">
        <f t="shared" ca="1" si="2"/>
        <v>Sin costo</v>
      </c>
      <c r="M35" t="s">
        <v>64</v>
      </c>
      <c r="N35" t="s">
        <v>66</v>
      </c>
      <c r="O35" t="s">
        <v>66</v>
      </c>
      <c r="P35" t="s">
        <v>66</v>
      </c>
      <c r="R35" t="s">
        <v>66</v>
      </c>
      <c r="U35" t="s">
        <v>90</v>
      </c>
      <c r="V35" t="s">
        <v>66</v>
      </c>
      <c r="W35" t="s">
        <v>66</v>
      </c>
      <c r="X35" t="s">
        <v>66</v>
      </c>
      <c r="Y35" t="s">
        <v>66</v>
      </c>
      <c r="Z35" s="99" t="str">
        <f t="shared" ca="1" si="3"/>
        <v/>
      </c>
      <c r="AA35" s="101" t="str">
        <f t="shared" ca="1" si="4"/>
        <v/>
      </c>
    </row>
    <row r="36" spans="2:27" ht="27.6" customHeight="1">
      <c r="B36">
        <f t="shared" ca="1" si="0"/>
        <v>0</v>
      </c>
      <c r="C36" t="s">
        <v>36</v>
      </c>
      <c r="G36" s="75">
        <v>1</v>
      </c>
      <c r="J36" s="66" t="str">
        <f t="shared" ca="1" si="1"/>
        <v>14%</v>
      </c>
      <c r="K36" t="s">
        <v>59</v>
      </c>
      <c r="L36" s="66" t="str">
        <f t="shared" ca="1" si="2"/>
        <v>Sin costo</v>
      </c>
      <c r="M36" t="s">
        <v>64</v>
      </c>
      <c r="N36" t="s">
        <v>66</v>
      </c>
      <c r="O36" t="s">
        <v>66</v>
      </c>
      <c r="P36" t="s">
        <v>66</v>
      </c>
      <c r="R36" t="s">
        <v>66</v>
      </c>
      <c r="U36" t="s">
        <v>90</v>
      </c>
      <c r="V36" t="s">
        <v>66</v>
      </c>
      <c r="W36" t="s">
        <v>66</v>
      </c>
      <c r="X36" t="s">
        <v>66</v>
      </c>
      <c r="Y36" t="s">
        <v>66</v>
      </c>
      <c r="Z36" s="99" t="str">
        <f t="shared" ca="1" si="3"/>
        <v/>
      </c>
      <c r="AA36" s="101" t="str">
        <f t="shared" ca="1" si="4"/>
        <v/>
      </c>
    </row>
    <row r="37" spans="2:27" ht="27.6" customHeight="1">
      <c r="B37">
        <f t="shared" ca="1" si="0"/>
        <v>0</v>
      </c>
      <c r="C37" t="s">
        <v>36</v>
      </c>
      <c r="G37" s="75">
        <v>1</v>
      </c>
      <c r="J37" s="66" t="str">
        <f t="shared" ca="1" si="1"/>
        <v>14%</v>
      </c>
      <c r="K37" t="s">
        <v>59</v>
      </c>
      <c r="L37" s="66" t="str">
        <f t="shared" ca="1" si="2"/>
        <v>Sin costo</v>
      </c>
      <c r="M37" t="s">
        <v>64</v>
      </c>
      <c r="N37" t="s">
        <v>66</v>
      </c>
      <c r="O37" t="s">
        <v>66</v>
      </c>
      <c r="P37" t="s">
        <v>66</v>
      </c>
      <c r="R37" t="s">
        <v>66</v>
      </c>
      <c r="U37" t="s">
        <v>90</v>
      </c>
      <c r="V37" t="s">
        <v>66</v>
      </c>
      <c r="W37" t="s">
        <v>66</v>
      </c>
      <c r="X37" t="s">
        <v>66</v>
      </c>
      <c r="Y37" t="s">
        <v>66</v>
      </c>
      <c r="Z37" s="99" t="str">
        <f t="shared" ca="1" si="3"/>
        <v/>
      </c>
      <c r="AA37" s="101" t="str">
        <f t="shared" ca="1" si="4"/>
        <v/>
      </c>
    </row>
    <row r="38" spans="2:27" ht="27.6" customHeight="1">
      <c r="B38">
        <f t="shared" ca="1" si="0"/>
        <v>0</v>
      </c>
      <c r="C38" t="s">
        <v>36</v>
      </c>
      <c r="G38" s="75">
        <v>1</v>
      </c>
      <c r="J38" s="66" t="str">
        <f t="shared" ca="1" si="1"/>
        <v>14%</v>
      </c>
      <c r="K38" t="s">
        <v>59</v>
      </c>
      <c r="L38" s="66" t="str">
        <f t="shared" ca="1" si="2"/>
        <v>Sin costo</v>
      </c>
      <c r="M38" t="s">
        <v>64</v>
      </c>
      <c r="N38" t="s">
        <v>66</v>
      </c>
      <c r="O38" t="s">
        <v>66</v>
      </c>
      <c r="P38" t="s">
        <v>66</v>
      </c>
      <c r="R38" t="s">
        <v>66</v>
      </c>
      <c r="U38" t="s">
        <v>90</v>
      </c>
      <c r="V38" t="s">
        <v>66</v>
      </c>
      <c r="W38" t="s">
        <v>66</v>
      </c>
      <c r="X38" t="s">
        <v>66</v>
      </c>
      <c r="Y38" t="s">
        <v>66</v>
      </c>
      <c r="Z38" s="99" t="str">
        <f t="shared" ca="1" si="3"/>
        <v/>
      </c>
      <c r="AA38" s="101" t="str">
        <f t="shared" ca="1" si="4"/>
        <v/>
      </c>
    </row>
    <row r="39" spans="2:27" ht="27.6" customHeight="1">
      <c r="B39">
        <f t="shared" ca="1" si="0"/>
        <v>0</v>
      </c>
      <c r="C39" t="s">
        <v>36</v>
      </c>
      <c r="G39" s="75">
        <v>1</v>
      </c>
      <c r="J39" s="66" t="str">
        <f t="shared" ca="1" si="1"/>
        <v>14%</v>
      </c>
      <c r="K39" t="s">
        <v>59</v>
      </c>
      <c r="L39" s="66" t="str">
        <f t="shared" ca="1" si="2"/>
        <v>Sin costo</v>
      </c>
      <c r="M39" t="s">
        <v>64</v>
      </c>
      <c r="N39" t="s">
        <v>66</v>
      </c>
      <c r="O39" t="s">
        <v>66</v>
      </c>
      <c r="P39" t="s">
        <v>66</v>
      </c>
      <c r="R39" t="s">
        <v>66</v>
      </c>
      <c r="U39" t="s">
        <v>90</v>
      </c>
      <c r="V39" t="s">
        <v>66</v>
      </c>
      <c r="W39" t="s">
        <v>66</v>
      </c>
      <c r="X39" t="s">
        <v>66</v>
      </c>
      <c r="Y39" t="s">
        <v>66</v>
      </c>
      <c r="Z39" s="99" t="str">
        <f t="shared" ca="1" si="3"/>
        <v/>
      </c>
      <c r="AA39" s="101" t="str">
        <f t="shared" ca="1" si="4"/>
        <v/>
      </c>
    </row>
    <row r="40" spans="2:27" ht="27.6" customHeight="1">
      <c r="B40">
        <f t="shared" ca="1" si="0"/>
        <v>0</v>
      </c>
      <c r="C40" t="s">
        <v>36</v>
      </c>
      <c r="G40" s="75">
        <v>1</v>
      </c>
      <c r="J40" s="66" t="str">
        <f t="shared" ca="1" si="1"/>
        <v>14%</v>
      </c>
      <c r="K40" t="s">
        <v>59</v>
      </c>
      <c r="L40" s="66" t="str">
        <f t="shared" ca="1" si="2"/>
        <v>Sin costo</v>
      </c>
      <c r="M40" t="s">
        <v>64</v>
      </c>
      <c r="N40" t="s">
        <v>66</v>
      </c>
      <c r="O40" t="s">
        <v>66</v>
      </c>
      <c r="P40" t="s">
        <v>66</v>
      </c>
      <c r="R40" t="s">
        <v>66</v>
      </c>
      <c r="U40" t="s">
        <v>90</v>
      </c>
      <c r="V40" t="s">
        <v>66</v>
      </c>
      <c r="W40" t="s">
        <v>66</v>
      </c>
      <c r="X40" t="s">
        <v>66</v>
      </c>
      <c r="Y40" t="s">
        <v>66</v>
      </c>
      <c r="Z40" s="99" t="str">
        <f t="shared" ca="1" si="3"/>
        <v/>
      </c>
      <c r="AA40" s="101" t="str">
        <f t="shared" ca="1" si="4"/>
        <v/>
      </c>
    </row>
    <row r="41" spans="2:27" ht="27.6" customHeight="1">
      <c r="B41">
        <f t="shared" ca="1" si="0"/>
        <v>0</v>
      </c>
      <c r="C41" t="s">
        <v>36</v>
      </c>
      <c r="G41" s="75">
        <v>1</v>
      </c>
      <c r="J41" s="66" t="str">
        <f t="shared" ca="1" si="1"/>
        <v>14%</v>
      </c>
      <c r="K41" t="s">
        <v>59</v>
      </c>
      <c r="L41" s="66" t="str">
        <f t="shared" ca="1" si="2"/>
        <v>Sin costo</v>
      </c>
      <c r="M41" t="s">
        <v>64</v>
      </c>
      <c r="N41" t="s">
        <v>66</v>
      </c>
      <c r="O41" t="s">
        <v>66</v>
      </c>
      <c r="P41" t="s">
        <v>66</v>
      </c>
      <c r="R41" t="s">
        <v>66</v>
      </c>
      <c r="U41" t="s">
        <v>90</v>
      </c>
      <c r="V41" t="s">
        <v>66</v>
      </c>
      <c r="W41" t="s">
        <v>66</v>
      </c>
      <c r="X41" t="s">
        <v>66</v>
      </c>
      <c r="Y41" t="s">
        <v>66</v>
      </c>
      <c r="Z41" s="99" t="str">
        <f t="shared" ca="1" si="3"/>
        <v/>
      </c>
      <c r="AA41" s="101" t="str">
        <f t="shared" ca="1" si="4"/>
        <v/>
      </c>
    </row>
    <row r="42" spans="2:27" ht="27.6" customHeight="1">
      <c r="B42">
        <f t="shared" ca="1" si="0"/>
        <v>0</v>
      </c>
      <c r="C42" t="s">
        <v>36</v>
      </c>
      <c r="G42" s="75">
        <v>1</v>
      </c>
      <c r="J42" s="66" t="str">
        <f t="shared" ca="1" si="1"/>
        <v>14%</v>
      </c>
      <c r="K42" t="s">
        <v>59</v>
      </c>
      <c r="L42" s="66" t="str">
        <f t="shared" ca="1" si="2"/>
        <v>Sin costo</v>
      </c>
      <c r="M42" t="s">
        <v>64</v>
      </c>
      <c r="N42" t="s">
        <v>66</v>
      </c>
      <c r="O42" t="s">
        <v>66</v>
      </c>
      <c r="P42" t="s">
        <v>66</v>
      </c>
      <c r="R42" t="s">
        <v>66</v>
      </c>
      <c r="U42" t="s">
        <v>90</v>
      </c>
      <c r="V42" t="s">
        <v>66</v>
      </c>
      <c r="W42" t="s">
        <v>66</v>
      </c>
      <c r="X42" t="s">
        <v>66</v>
      </c>
      <c r="Y42" t="s">
        <v>66</v>
      </c>
      <c r="Z42" s="99" t="str">
        <f t="shared" ca="1" si="3"/>
        <v/>
      </c>
      <c r="AA42" s="101" t="str">
        <f t="shared" ca="1" si="4"/>
        <v/>
      </c>
    </row>
    <row r="43" spans="2:27" ht="27.6" customHeight="1">
      <c r="B43">
        <f t="shared" ca="1" si="0"/>
        <v>0</v>
      </c>
      <c r="C43" t="s">
        <v>36</v>
      </c>
      <c r="G43" s="75">
        <v>1</v>
      </c>
      <c r="J43" s="66" t="str">
        <f t="shared" ca="1" si="1"/>
        <v>14%</v>
      </c>
      <c r="K43" t="s">
        <v>59</v>
      </c>
      <c r="L43" s="66" t="str">
        <f t="shared" ca="1" si="2"/>
        <v>Sin costo</v>
      </c>
      <c r="M43" t="s">
        <v>64</v>
      </c>
      <c r="N43" t="s">
        <v>66</v>
      </c>
      <c r="O43" t="s">
        <v>66</v>
      </c>
      <c r="P43" t="s">
        <v>66</v>
      </c>
      <c r="R43" t="s">
        <v>66</v>
      </c>
      <c r="U43" t="s">
        <v>90</v>
      </c>
      <c r="V43" t="s">
        <v>66</v>
      </c>
      <c r="W43" t="s">
        <v>66</v>
      </c>
      <c r="X43" t="s">
        <v>66</v>
      </c>
      <c r="Y43" t="s">
        <v>66</v>
      </c>
      <c r="Z43" s="99" t="str">
        <f t="shared" ca="1" si="3"/>
        <v/>
      </c>
      <c r="AA43" s="101" t="str">
        <f t="shared" ca="1" si="4"/>
        <v/>
      </c>
    </row>
    <row r="44" spans="2:27" ht="27.6" customHeight="1">
      <c r="B44">
        <f t="shared" ca="1" si="0"/>
        <v>0</v>
      </c>
      <c r="C44" t="s">
        <v>36</v>
      </c>
      <c r="G44" s="75">
        <v>1</v>
      </c>
      <c r="J44" s="66" t="str">
        <f t="shared" ca="1" si="1"/>
        <v>14%</v>
      </c>
      <c r="K44" t="s">
        <v>59</v>
      </c>
      <c r="L44" s="66" t="str">
        <f t="shared" ca="1" si="2"/>
        <v>Sin costo</v>
      </c>
      <c r="M44" t="s">
        <v>64</v>
      </c>
      <c r="N44" t="s">
        <v>66</v>
      </c>
      <c r="O44" t="s">
        <v>66</v>
      </c>
      <c r="P44" t="s">
        <v>66</v>
      </c>
      <c r="R44" t="s">
        <v>66</v>
      </c>
      <c r="U44" t="s">
        <v>90</v>
      </c>
      <c r="V44" t="s">
        <v>66</v>
      </c>
      <c r="W44" t="s">
        <v>66</v>
      </c>
      <c r="X44" t="s">
        <v>66</v>
      </c>
      <c r="Y44" t="s">
        <v>66</v>
      </c>
      <c r="Z44" s="99" t="str">
        <f t="shared" ca="1" si="3"/>
        <v/>
      </c>
      <c r="AA44" s="101" t="str">
        <f t="shared" ca="1" si="4"/>
        <v/>
      </c>
    </row>
    <row r="45" spans="2:27" ht="27.6" customHeight="1">
      <c r="B45">
        <f t="shared" ca="1" si="0"/>
        <v>0</v>
      </c>
      <c r="C45" t="s">
        <v>36</v>
      </c>
      <c r="G45" s="75">
        <v>1</v>
      </c>
      <c r="J45" s="66" t="str">
        <f t="shared" ca="1" si="1"/>
        <v>14%</v>
      </c>
      <c r="K45" t="s">
        <v>59</v>
      </c>
      <c r="L45" s="66" t="str">
        <f t="shared" ca="1" si="2"/>
        <v>Sin costo</v>
      </c>
      <c r="M45" t="s">
        <v>64</v>
      </c>
      <c r="N45" t="s">
        <v>66</v>
      </c>
      <c r="O45" t="s">
        <v>66</v>
      </c>
      <c r="P45" t="s">
        <v>66</v>
      </c>
      <c r="R45" t="s">
        <v>66</v>
      </c>
      <c r="U45" t="s">
        <v>90</v>
      </c>
      <c r="V45" t="s">
        <v>66</v>
      </c>
      <c r="W45" t="s">
        <v>66</v>
      </c>
      <c r="X45" t="s">
        <v>66</v>
      </c>
      <c r="Y45" t="s">
        <v>66</v>
      </c>
      <c r="Z45" s="99" t="str">
        <f t="shared" ca="1" si="3"/>
        <v/>
      </c>
      <c r="AA45" s="101" t="str">
        <f t="shared" ca="1" si="4"/>
        <v/>
      </c>
    </row>
    <row r="46" spans="2:27" ht="27.6" customHeight="1">
      <c r="B46">
        <f t="shared" ca="1" si="0"/>
        <v>0</v>
      </c>
      <c r="C46" t="s">
        <v>36</v>
      </c>
      <c r="G46" s="75">
        <v>1</v>
      </c>
      <c r="J46" s="66" t="str">
        <f t="shared" ca="1" si="1"/>
        <v>14%</v>
      </c>
      <c r="K46" t="s">
        <v>59</v>
      </c>
      <c r="L46" s="66" t="str">
        <f t="shared" ca="1" si="2"/>
        <v>Sin costo</v>
      </c>
      <c r="M46" t="s">
        <v>64</v>
      </c>
      <c r="N46" t="s">
        <v>66</v>
      </c>
      <c r="O46" t="s">
        <v>66</v>
      </c>
      <c r="P46" t="s">
        <v>66</v>
      </c>
      <c r="R46" t="s">
        <v>66</v>
      </c>
      <c r="U46" t="s">
        <v>90</v>
      </c>
      <c r="V46" t="s">
        <v>66</v>
      </c>
      <c r="W46" t="s">
        <v>66</v>
      </c>
      <c r="X46" t="s">
        <v>66</v>
      </c>
      <c r="Y46" t="s">
        <v>66</v>
      </c>
      <c r="Z46" s="99" t="str">
        <f t="shared" ca="1" si="3"/>
        <v/>
      </c>
      <c r="AA46" s="101" t="str">
        <f t="shared" ca="1" si="4"/>
        <v/>
      </c>
    </row>
    <row r="47" spans="2:27" ht="27.6" customHeight="1">
      <c r="B47">
        <f t="shared" ca="1" si="0"/>
        <v>0</v>
      </c>
      <c r="C47" t="s">
        <v>36</v>
      </c>
      <c r="G47" s="75">
        <v>1</v>
      </c>
      <c r="J47" s="66" t="str">
        <f t="shared" ca="1" si="1"/>
        <v>14%</v>
      </c>
      <c r="K47" t="s">
        <v>59</v>
      </c>
      <c r="L47" s="66" t="str">
        <f t="shared" ca="1" si="2"/>
        <v>Sin costo</v>
      </c>
      <c r="M47" t="s">
        <v>64</v>
      </c>
      <c r="N47" t="s">
        <v>66</v>
      </c>
      <c r="O47" t="s">
        <v>66</v>
      </c>
      <c r="P47" t="s">
        <v>66</v>
      </c>
      <c r="R47" t="s">
        <v>66</v>
      </c>
      <c r="U47" t="s">
        <v>90</v>
      </c>
      <c r="V47" t="s">
        <v>66</v>
      </c>
      <c r="W47" t="s">
        <v>66</v>
      </c>
      <c r="X47" t="s">
        <v>66</v>
      </c>
      <c r="Y47" t="s">
        <v>66</v>
      </c>
      <c r="Z47" s="99" t="str">
        <f t="shared" ca="1" si="3"/>
        <v/>
      </c>
      <c r="AA47" s="101" t="str">
        <f t="shared" ca="1" si="4"/>
        <v/>
      </c>
    </row>
    <row r="48" spans="2:27" ht="27.6" customHeight="1">
      <c r="B48">
        <f t="shared" ca="1" si="0"/>
        <v>0</v>
      </c>
      <c r="C48" t="s">
        <v>36</v>
      </c>
      <c r="G48" s="75">
        <v>1</v>
      </c>
      <c r="J48" s="66" t="str">
        <f t="shared" ca="1" si="1"/>
        <v>14%</v>
      </c>
      <c r="K48" t="s">
        <v>59</v>
      </c>
      <c r="L48" s="66" t="str">
        <f t="shared" ca="1" si="2"/>
        <v>Sin costo</v>
      </c>
      <c r="M48" t="s">
        <v>64</v>
      </c>
      <c r="N48" t="s">
        <v>66</v>
      </c>
      <c r="O48" t="s">
        <v>66</v>
      </c>
      <c r="P48" t="s">
        <v>66</v>
      </c>
      <c r="R48" t="s">
        <v>66</v>
      </c>
      <c r="U48" t="s">
        <v>90</v>
      </c>
      <c r="V48" t="s">
        <v>66</v>
      </c>
      <c r="W48" t="s">
        <v>66</v>
      </c>
      <c r="X48" t="s">
        <v>66</v>
      </c>
      <c r="Y48" t="s">
        <v>66</v>
      </c>
      <c r="Z48" s="99" t="str">
        <f t="shared" ca="1" si="3"/>
        <v/>
      </c>
      <c r="AA48" s="101" t="str">
        <f t="shared" ca="1" si="4"/>
        <v/>
      </c>
    </row>
    <row r="49" spans="2:27" ht="27.6" customHeight="1">
      <c r="B49">
        <f t="shared" ca="1" si="0"/>
        <v>0</v>
      </c>
      <c r="C49" t="s">
        <v>36</v>
      </c>
      <c r="G49" s="75">
        <v>1</v>
      </c>
      <c r="J49" s="66" t="str">
        <f t="shared" ca="1" si="1"/>
        <v>14%</v>
      </c>
      <c r="K49" t="s">
        <v>59</v>
      </c>
      <c r="L49" s="66" t="str">
        <f t="shared" ca="1" si="2"/>
        <v>Sin costo</v>
      </c>
      <c r="M49" t="s">
        <v>64</v>
      </c>
      <c r="N49" t="s">
        <v>66</v>
      </c>
      <c r="O49" t="s">
        <v>66</v>
      </c>
      <c r="P49" t="s">
        <v>66</v>
      </c>
      <c r="R49" t="s">
        <v>66</v>
      </c>
      <c r="U49" t="s">
        <v>90</v>
      </c>
      <c r="V49" t="s">
        <v>66</v>
      </c>
      <c r="W49" t="s">
        <v>66</v>
      </c>
      <c r="X49" t="s">
        <v>66</v>
      </c>
      <c r="Y49" t="s">
        <v>66</v>
      </c>
      <c r="Z49" s="99" t="str">
        <f t="shared" ca="1" si="3"/>
        <v/>
      </c>
      <c r="AA49" s="101" t="str">
        <f t="shared" ca="1" si="4"/>
        <v/>
      </c>
    </row>
    <row r="50" spans="2:27" ht="27.6" customHeight="1">
      <c r="B50">
        <f t="shared" ca="1" si="0"/>
        <v>0</v>
      </c>
      <c r="C50" t="s">
        <v>36</v>
      </c>
      <c r="G50" s="75">
        <v>1</v>
      </c>
      <c r="J50" s="66" t="str">
        <f t="shared" ca="1" si="1"/>
        <v>14%</v>
      </c>
      <c r="K50" t="s">
        <v>59</v>
      </c>
      <c r="L50" s="66" t="str">
        <f t="shared" ca="1" si="2"/>
        <v>Sin costo</v>
      </c>
      <c r="M50" t="s">
        <v>64</v>
      </c>
      <c r="N50" t="s">
        <v>66</v>
      </c>
      <c r="O50" t="s">
        <v>66</v>
      </c>
      <c r="P50" t="s">
        <v>66</v>
      </c>
      <c r="R50" t="s">
        <v>66</v>
      </c>
      <c r="U50" t="s">
        <v>90</v>
      </c>
      <c r="V50" t="s">
        <v>66</v>
      </c>
      <c r="W50" t="s">
        <v>66</v>
      </c>
      <c r="X50" t="s">
        <v>66</v>
      </c>
      <c r="Y50" t="s">
        <v>66</v>
      </c>
      <c r="Z50" s="99" t="str">
        <f t="shared" ca="1" si="3"/>
        <v/>
      </c>
      <c r="AA50" s="101" t="str">
        <f t="shared" ca="1" si="4"/>
        <v/>
      </c>
    </row>
    <row r="51" spans="2:27" ht="27.6" customHeight="1">
      <c r="B51">
        <f t="shared" ca="1" si="0"/>
        <v>0</v>
      </c>
      <c r="C51" t="s">
        <v>36</v>
      </c>
      <c r="G51" s="75">
        <v>1</v>
      </c>
      <c r="J51" s="66" t="str">
        <f t="shared" ca="1" si="1"/>
        <v>14%</v>
      </c>
      <c r="K51" t="s">
        <v>59</v>
      </c>
      <c r="L51" s="66" t="str">
        <f t="shared" ca="1" si="2"/>
        <v>Sin costo</v>
      </c>
      <c r="M51" t="s">
        <v>64</v>
      </c>
      <c r="N51" t="s">
        <v>66</v>
      </c>
      <c r="O51" t="s">
        <v>66</v>
      </c>
      <c r="P51" t="s">
        <v>66</v>
      </c>
      <c r="R51" t="s">
        <v>66</v>
      </c>
      <c r="U51" t="s">
        <v>90</v>
      </c>
      <c r="V51" t="s">
        <v>66</v>
      </c>
      <c r="W51" t="s">
        <v>66</v>
      </c>
      <c r="X51" t="s">
        <v>66</v>
      </c>
      <c r="Y51" t="s">
        <v>66</v>
      </c>
      <c r="Z51" s="99" t="str">
        <f t="shared" ca="1" si="3"/>
        <v/>
      </c>
      <c r="AA51" s="101" t="str">
        <f t="shared" ca="1" si="4"/>
        <v/>
      </c>
    </row>
    <row r="52" spans="2:27" ht="27.6" customHeight="1">
      <c r="B52">
        <f t="shared" ca="1" si="0"/>
        <v>0</v>
      </c>
      <c r="C52" t="s">
        <v>36</v>
      </c>
      <c r="G52" s="75">
        <v>1</v>
      </c>
      <c r="J52" s="66" t="str">
        <f t="shared" ca="1" si="1"/>
        <v>14%</v>
      </c>
      <c r="K52" t="s">
        <v>59</v>
      </c>
      <c r="L52" s="66" t="str">
        <f t="shared" ca="1" si="2"/>
        <v>Sin costo</v>
      </c>
      <c r="M52" t="s">
        <v>64</v>
      </c>
      <c r="N52" t="s">
        <v>66</v>
      </c>
      <c r="O52" t="s">
        <v>66</v>
      </c>
      <c r="P52" t="s">
        <v>66</v>
      </c>
      <c r="R52" t="s">
        <v>66</v>
      </c>
      <c r="U52" t="s">
        <v>90</v>
      </c>
      <c r="V52" t="s">
        <v>66</v>
      </c>
      <c r="W52" t="s">
        <v>66</v>
      </c>
      <c r="X52" t="s">
        <v>66</v>
      </c>
      <c r="Y52" t="s">
        <v>66</v>
      </c>
      <c r="Z52" s="99" t="str">
        <f t="shared" ca="1" si="3"/>
        <v/>
      </c>
      <c r="AA52" s="101" t="str">
        <f t="shared" ca="1" si="4"/>
        <v/>
      </c>
    </row>
    <row r="53" spans="2:27" ht="27.6" customHeight="1">
      <c r="B53">
        <f t="shared" ca="1" si="0"/>
        <v>0</v>
      </c>
      <c r="C53" t="s">
        <v>36</v>
      </c>
      <c r="G53" s="75">
        <v>1</v>
      </c>
      <c r="J53" s="66" t="str">
        <f t="shared" ca="1" si="1"/>
        <v>14%</v>
      </c>
      <c r="K53" t="s">
        <v>59</v>
      </c>
      <c r="L53" s="66" t="str">
        <f t="shared" ca="1" si="2"/>
        <v>Sin costo</v>
      </c>
      <c r="M53" t="s">
        <v>64</v>
      </c>
      <c r="N53" t="s">
        <v>66</v>
      </c>
      <c r="O53" t="s">
        <v>66</v>
      </c>
      <c r="P53" t="s">
        <v>66</v>
      </c>
      <c r="R53" t="s">
        <v>66</v>
      </c>
      <c r="U53" t="s">
        <v>90</v>
      </c>
      <c r="V53" t="s">
        <v>66</v>
      </c>
      <c r="W53" t="s">
        <v>66</v>
      </c>
      <c r="X53" t="s">
        <v>66</v>
      </c>
      <c r="Y53" t="s">
        <v>66</v>
      </c>
      <c r="Z53" s="99" t="str">
        <f t="shared" ca="1" si="3"/>
        <v/>
      </c>
      <c r="AA53" s="101" t="str">
        <f t="shared" ca="1" si="4"/>
        <v/>
      </c>
    </row>
    <row r="54" spans="2:27" ht="27.6" customHeight="1">
      <c r="B54">
        <f t="shared" ca="1" si="0"/>
        <v>0</v>
      </c>
      <c r="C54" t="s">
        <v>36</v>
      </c>
      <c r="G54" s="75">
        <v>1</v>
      </c>
      <c r="J54" s="66" t="str">
        <f t="shared" ca="1" si="1"/>
        <v>14%</v>
      </c>
      <c r="K54" t="s">
        <v>59</v>
      </c>
      <c r="L54" s="66" t="str">
        <f t="shared" ca="1" si="2"/>
        <v>Sin costo</v>
      </c>
      <c r="M54" t="s">
        <v>64</v>
      </c>
      <c r="N54" t="s">
        <v>66</v>
      </c>
      <c r="O54" t="s">
        <v>66</v>
      </c>
      <c r="P54" t="s">
        <v>66</v>
      </c>
      <c r="R54" t="s">
        <v>66</v>
      </c>
      <c r="U54" t="s">
        <v>90</v>
      </c>
      <c r="V54" t="s">
        <v>66</v>
      </c>
      <c r="W54" t="s">
        <v>66</v>
      </c>
      <c r="X54" t="s">
        <v>66</v>
      </c>
      <c r="Y54" t="s">
        <v>66</v>
      </c>
      <c r="Z54" s="99" t="str">
        <f t="shared" ca="1" si="3"/>
        <v/>
      </c>
      <c r="AA54" s="101" t="str">
        <f t="shared" ca="1" si="4"/>
        <v/>
      </c>
    </row>
    <row r="55" spans="2:27" ht="27.6" customHeight="1">
      <c r="B55">
        <f t="shared" ca="1" si="0"/>
        <v>0</v>
      </c>
      <c r="C55" t="s">
        <v>36</v>
      </c>
      <c r="G55" s="75">
        <v>1</v>
      </c>
      <c r="J55" s="66" t="str">
        <f t="shared" ca="1" si="1"/>
        <v>14%</v>
      </c>
      <c r="K55" t="s">
        <v>59</v>
      </c>
      <c r="L55" s="66" t="str">
        <f t="shared" ca="1" si="2"/>
        <v>Sin costo</v>
      </c>
      <c r="M55" t="s">
        <v>64</v>
      </c>
      <c r="N55" t="s">
        <v>66</v>
      </c>
      <c r="O55" t="s">
        <v>66</v>
      </c>
      <c r="P55" t="s">
        <v>66</v>
      </c>
      <c r="R55" t="s">
        <v>66</v>
      </c>
      <c r="U55" t="s">
        <v>90</v>
      </c>
      <c r="V55" t="s">
        <v>66</v>
      </c>
      <c r="W55" t="s">
        <v>66</v>
      </c>
      <c r="X55" t="s">
        <v>66</v>
      </c>
      <c r="Y55" t="s">
        <v>66</v>
      </c>
      <c r="Z55" s="99" t="str">
        <f t="shared" ca="1" si="3"/>
        <v/>
      </c>
      <c r="AA55" s="101" t="str">
        <f t="shared" ca="1" si="4"/>
        <v/>
      </c>
    </row>
    <row r="56" spans="2:27" ht="27.6" customHeight="1">
      <c r="B56">
        <f t="shared" ca="1" si="0"/>
        <v>0</v>
      </c>
      <c r="C56" t="s">
        <v>36</v>
      </c>
      <c r="G56" s="75">
        <v>1</v>
      </c>
      <c r="J56" s="66" t="str">
        <f t="shared" ca="1" si="1"/>
        <v>14%</v>
      </c>
      <c r="K56" t="s">
        <v>59</v>
      </c>
      <c r="L56" s="66" t="str">
        <f t="shared" ca="1" si="2"/>
        <v>Sin costo</v>
      </c>
      <c r="M56" t="s">
        <v>64</v>
      </c>
      <c r="N56" t="s">
        <v>66</v>
      </c>
      <c r="O56" t="s">
        <v>66</v>
      </c>
      <c r="P56" t="s">
        <v>66</v>
      </c>
      <c r="R56" t="s">
        <v>66</v>
      </c>
      <c r="U56" t="s">
        <v>90</v>
      </c>
      <c r="V56" t="s">
        <v>66</v>
      </c>
      <c r="W56" t="s">
        <v>66</v>
      </c>
      <c r="X56" t="s">
        <v>66</v>
      </c>
      <c r="Y56" t="s">
        <v>66</v>
      </c>
      <c r="Z56" s="99" t="str">
        <f t="shared" ca="1" si="3"/>
        <v/>
      </c>
      <c r="AA56" s="101" t="str">
        <f t="shared" ca="1" si="4"/>
        <v/>
      </c>
    </row>
    <row r="57" spans="2:27" ht="27.6" customHeight="1">
      <c r="B57">
        <f t="shared" ca="1" si="0"/>
        <v>0</v>
      </c>
      <c r="C57" t="s">
        <v>36</v>
      </c>
      <c r="G57" s="75">
        <v>1</v>
      </c>
      <c r="J57" s="66" t="str">
        <f t="shared" ca="1" si="1"/>
        <v>14%</v>
      </c>
      <c r="K57" t="s">
        <v>59</v>
      </c>
      <c r="L57" s="66" t="str">
        <f t="shared" ca="1" si="2"/>
        <v>Sin costo</v>
      </c>
      <c r="M57" t="s">
        <v>64</v>
      </c>
      <c r="N57" t="s">
        <v>66</v>
      </c>
      <c r="O57" t="s">
        <v>66</v>
      </c>
      <c r="P57" t="s">
        <v>66</v>
      </c>
      <c r="R57" t="s">
        <v>66</v>
      </c>
      <c r="U57" t="s">
        <v>90</v>
      </c>
      <c r="V57" t="s">
        <v>66</v>
      </c>
      <c r="W57" t="s">
        <v>66</v>
      </c>
      <c r="X57" t="s">
        <v>66</v>
      </c>
      <c r="Y57" t="s">
        <v>66</v>
      </c>
      <c r="Z57" s="99" t="str">
        <f t="shared" ca="1" si="3"/>
        <v/>
      </c>
      <c r="AA57" s="101" t="str">
        <f t="shared" ca="1" si="4"/>
        <v/>
      </c>
    </row>
    <row r="58" spans="2:27" ht="27.6" customHeight="1">
      <c r="B58">
        <f t="shared" ca="1" si="0"/>
        <v>0</v>
      </c>
      <c r="C58" t="s">
        <v>36</v>
      </c>
      <c r="G58" s="75">
        <v>1</v>
      </c>
      <c r="J58" s="66" t="str">
        <f t="shared" ca="1" si="1"/>
        <v>14%</v>
      </c>
      <c r="K58" t="s">
        <v>59</v>
      </c>
      <c r="L58" s="66" t="str">
        <f t="shared" ca="1" si="2"/>
        <v>Sin costo</v>
      </c>
      <c r="M58" t="s">
        <v>64</v>
      </c>
      <c r="N58" t="s">
        <v>66</v>
      </c>
      <c r="O58" t="s">
        <v>66</v>
      </c>
      <c r="P58" t="s">
        <v>66</v>
      </c>
      <c r="R58" t="s">
        <v>66</v>
      </c>
      <c r="U58" t="s">
        <v>90</v>
      </c>
      <c r="V58" t="s">
        <v>66</v>
      </c>
      <c r="W58" t="s">
        <v>66</v>
      </c>
      <c r="X58" t="s">
        <v>66</v>
      </c>
      <c r="Y58" t="s">
        <v>66</v>
      </c>
      <c r="Z58" s="99" t="str">
        <f t="shared" ca="1" si="3"/>
        <v/>
      </c>
      <c r="AA58" s="101" t="str">
        <f t="shared" ca="1" si="4"/>
        <v/>
      </c>
    </row>
    <row r="59" spans="2:27" ht="27.6" customHeight="1">
      <c r="B59">
        <f t="shared" ca="1" si="0"/>
        <v>0</v>
      </c>
      <c r="C59" t="s">
        <v>36</v>
      </c>
      <c r="G59" s="75">
        <v>1</v>
      </c>
      <c r="J59" s="66" t="str">
        <f t="shared" ca="1" si="1"/>
        <v>14%</v>
      </c>
      <c r="K59" t="s">
        <v>59</v>
      </c>
      <c r="L59" s="66" t="str">
        <f t="shared" ca="1" si="2"/>
        <v>Sin costo</v>
      </c>
      <c r="M59" t="s">
        <v>64</v>
      </c>
      <c r="N59" t="s">
        <v>66</v>
      </c>
      <c r="O59" t="s">
        <v>66</v>
      </c>
      <c r="P59" t="s">
        <v>66</v>
      </c>
      <c r="R59" t="s">
        <v>66</v>
      </c>
      <c r="U59" t="s">
        <v>90</v>
      </c>
      <c r="V59" t="s">
        <v>66</v>
      </c>
      <c r="W59" t="s">
        <v>66</v>
      </c>
      <c r="X59" t="s">
        <v>66</v>
      </c>
      <c r="Y59" t="s">
        <v>66</v>
      </c>
      <c r="Z59" s="99" t="str">
        <f t="shared" ca="1" si="3"/>
        <v/>
      </c>
      <c r="AA59" s="101" t="str">
        <f t="shared" ca="1" si="4"/>
        <v/>
      </c>
    </row>
    <row r="60" spans="2:27" ht="27.6" customHeight="1">
      <c r="B60">
        <f t="shared" ca="1" si="0"/>
        <v>0</v>
      </c>
      <c r="C60" t="s">
        <v>36</v>
      </c>
      <c r="G60" s="75">
        <v>1</v>
      </c>
      <c r="J60" s="66" t="str">
        <f t="shared" ca="1" si="1"/>
        <v>14%</v>
      </c>
      <c r="K60" t="s">
        <v>59</v>
      </c>
      <c r="L60" s="66" t="str">
        <f t="shared" ca="1" si="2"/>
        <v>Sin costo</v>
      </c>
      <c r="M60" t="s">
        <v>64</v>
      </c>
      <c r="N60" t="s">
        <v>66</v>
      </c>
      <c r="O60" t="s">
        <v>66</v>
      </c>
      <c r="P60" t="s">
        <v>66</v>
      </c>
      <c r="R60" t="s">
        <v>66</v>
      </c>
      <c r="U60" t="s">
        <v>90</v>
      </c>
      <c r="V60" t="s">
        <v>66</v>
      </c>
      <c r="W60" t="s">
        <v>66</v>
      </c>
      <c r="X60" t="s">
        <v>66</v>
      </c>
      <c r="Y60" t="s">
        <v>66</v>
      </c>
      <c r="Z60" s="99" t="str">
        <f t="shared" ca="1" si="3"/>
        <v/>
      </c>
      <c r="AA60" s="101" t="str">
        <f t="shared" ca="1" si="4"/>
        <v/>
      </c>
    </row>
    <row r="61" spans="2:27" ht="27.6" customHeight="1">
      <c r="B61">
        <f t="shared" ca="1" si="0"/>
        <v>0</v>
      </c>
      <c r="C61" t="s">
        <v>36</v>
      </c>
      <c r="G61" s="75">
        <v>1</v>
      </c>
      <c r="J61" s="66" t="str">
        <f t="shared" ca="1" si="1"/>
        <v>14%</v>
      </c>
      <c r="K61" t="s">
        <v>59</v>
      </c>
      <c r="L61" s="66" t="str">
        <f t="shared" ca="1" si="2"/>
        <v>Sin costo</v>
      </c>
      <c r="M61" t="s">
        <v>64</v>
      </c>
      <c r="N61" t="s">
        <v>66</v>
      </c>
      <c r="O61" t="s">
        <v>66</v>
      </c>
      <c r="P61" t="s">
        <v>66</v>
      </c>
      <c r="R61" t="s">
        <v>66</v>
      </c>
      <c r="U61" t="s">
        <v>90</v>
      </c>
      <c r="V61" t="s">
        <v>66</v>
      </c>
      <c r="W61" t="s">
        <v>66</v>
      </c>
      <c r="X61" t="s">
        <v>66</v>
      </c>
      <c r="Y61" t="s">
        <v>66</v>
      </c>
      <c r="Z61" s="99" t="str">
        <f t="shared" ca="1" si="3"/>
        <v/>
      </c>
      <c r="AA61" s="101" t="str">
        <f t="shared" ca="1" si="4"/>
        <v/>
      </c>
    </row>
    <row r="62" spans="2:27" ht="27.6" customHeight="1">
      <c r="B62">
        <f t="shared" ca="1" si="0"/>
        <v>0</v>
      </c>
      <c r="C62" t="s">
        <v>36</v>
      </c>
      <c r="G62" s="75">
        <v>1</v>
      </c>
      <c r="J62" s="66" t="str">
        <f t="shared" ca="1" si="1"/>
        <v>14%</v>
      </c>
      <c r="K62" t="s">
        <v>59</v>
      </c>
      <c r="L62" s="66" t="str">
        <f t="shared" ca="1" si="2"/>
        <v>Sin costo</v>
      </c>
      <c r="M62" t="s">
        <v>64</v>
      </c>
      <c r="N62" t="s">
        <v>66</v>
      </c>
      <c r="O62" t="s">
        <v>66</v>
      </c>
      <c r="P62" t="s">
        <v>66</v>
      </c>
      <c r="R62" t="s">
        <v>66</v>
      </c>
      <c r="U62" t="s">
        <v>90</v>
      </c>
      <c r="V62" t="s">
        <v>66</v>
      </c>
      <c r="W62" t="s">
        <v>66</v>
      </c>
      <c r="X62" t="s">
        <v>66</v>
      </c>
      <c r="Y62" t="s">
        <v>66</v>
      </c>
      <c r="Z62" s="99" t="str">
        <f t="shared" ca="1" si="3"/>
        <v/>
      </c>
      <c r="AA62" s="101" t="str">
        <f t="shared" ca="1" si="4"/>
        <v/>
      </c>
    </row>
    <row r="63" spans="2:27" ht="27.6" customHeight="1">
      <c r="B63">
        <f t="shared" ca="1" si="0"/>
        <v>0</v>
      </c>
      <c r="C63" t="s">
        <v>36</v>
      </c>
      <c r="G63" s="75">
        <v>1</v>
      </c>
      <c r="J63" s="66" t="str">
        <f t="shared" ca="1" si="1"/>
        <v>14%</v>
      </c>
      <c r="K63" t="s">
        <v>59</v>
      </c>
      <c r="L63" s="66" t="str">
        <f t="shared" ca="1" si="2"/>
        <v>Sin costo</v>
      </c>
      <c r="M63" t="s">
        <v>64</v>
      </c>
      <c r="N63" t="s">
        <v>66</v>
      </c>
      <c r="O63" t="s">
        <v>66</v>
      </c>
      <c r="P63" t="s">
        <v>66</v>
      </c>
      <c r="R63" t="s">
        <v>66</v>
      </c>
      <c r="U63" t="s">
        <v>90</v>
      </c>
      <c r="V63" t="s">
        <v>66</v>
      </c>
      <c r="W63" t="s">
        <v>66</v>
      </c>
      <c r="X63" t="s">
        <v>66</v>
      </c>
      <c r="Y63" t="s">
        <v>66</v>
      </c>
      <c r="Z63" s="99" t="str">
        <f t="shared" ca="1" si="3"/>
        <v/>
      </c>
      <c r="AA63" s="101" t="str">
        <f t="shared" ca="1" si="4"/>
        <v/>
      </c>
    </row>
    <row r="64" spans="2:27" ht="27.6" customHeight="1">
      <c r="B64">
        <f t="shared" ca="1" si="0"/>
        <v>0</v>
      </c>
      <c r="C64" t="s">
        <v>36</v>
      </c>
      <c r="G64" s="75">
        <v>1</v>
      </c>
      <c r="J64" s="66" t="str">
        <f t="shared" ca="1" si="1"/>
        <v>14%</v>
      </c>
      <c r="K64" t="s">
        <v>59</v>
      </c>
      <c r="L64" s="66" t="str">
        <f t="shared" ca="1" si="2"/>
        <v>Sin costo</v>
      </c>
      <c r="M64" t="s">
        <v>64</v>
      </c>
      <c r="N64" t="s">
        <v>66</v>
      </c>
      <c r="O64" t="s">
        <v>66</v>
      </c>
      <c r="P64" t="s">
        <v>66</v>
      </c>
      <c r="R64" t="s">
        <v>66</v>
      </c>
      <c r="U64" t="s">
        <v>90</v>
      </c>
      <c r="V64" t="s">
        <v>66</v>
      </c>
      <c r="W64" t="s">
        <v>66</v>
      </c>
      <c r="X64" t="s">
        <v>66</v>
      </c>
      <c r="Y64" t="s">
        <v>66</v>
      </c>
      <c r="Z64" s="99" t="str">
        <f t="shared" ca="1" si="3"/>
        <v/>
      </c>
      <c r="AA64" s="101" t="str">
        <f t="shared" ca="1" si="4"/>
        <v/>
      </c>
    </row>
    <row r="65" spans="2:27" ht="27.6" customHeight="1">
      <c r="B65">
        <f t="shared" ca="1" si="0"/>
        <v>0</v>
      </c>
      <c r="C65" t="s">
        <v>36</v>
      </c>
      <c r="G65" s="75">
        <v>1</v>
      </c>
      <c r="J65" s="66" t="str">
        <f t="shared" ca="1" si="1"/>
        <v>14%</v>
      </c>
      <c r="K65" t="s">
        <v>59</v>
      </c>
      <c r="L65" s="66" t="str">
        <f t="shared" ca="1" si="2"/>
        <v>Sin costo</v>
      </c>
      <c r="M65" t="s">
        <v>64</v>
      </c>
      <c r="N65" t="s">
        <v>66</v>
      </c>
      <c r="O65" t="s">
        <v>66</v>
      </c>
      <c r="P65" t="s">
        <v>66</v>
      </c>
      <c r="R65" t="s">
        <v>66</v>
      </c>
      <c r="U65" t="s">
        <v>90</v>
      </c>
      <c r="V65" t="s">
        <v>66</v>
      </c>
      <c r="W65" t="s">
        <v>66</v>
      </c>
      <c r="X65" t="s">
        <v>66</v>
      </c>
      <c r="Y65" t="s">
        <v>66</v>
      </c>
      <c r="Z65" s="99" t="str">
        <f t="shared" ca="1" si="3"/>
        <v/>
      </c>
      <c r="AA65" s="101" t="str">
        <f t="shared" ca="1" si="4"/>
        <v/>
      </c>
    </row>
    <row r="66" spans="2:27" ht="27.6" customHeight="1">
      <c r="B66">
        <f t="shared" ca="1" si="0"/>
        <v>0</v>
      </c>
      <c r="C66" t="s">
        <v>36</v>
      </c>
      <c r="G66" s="75">
        <v>1</v>
      </c>
      <c r="J66" s="66" t="str">
        <f t="shared" ca="1" si="1"/>
        <v>14%</v>
      </c>
      <c r="K66" t="s">
        <v>59</v>
      </c>
      <c r="L66" s="66" t="str">
        <f t="shared" ca="1" si="2"/>
        <v>Sin costo</v>
      </c>
      <c r="M66" t="s">
        <v>64</v>
      </c>
      <c r="N66" t="s">
        <v>66</v>
      </c>
      <c r="O66" t="s">
        <v>66</v>
      </c>
      <c r="P66" t="s">
        <v>66</v>
      </c>
      <c r="R66" t="s">
        <v>66</v>
      </c>
      <c r="U66" t="s">
        <v>90</v>
      </c>
      <c r="V66" t="s">
        <v>66</v>
      </c>
      <c r="W66" t="s">
        <v>66</v>
      </c>
      <c r="X66" t="s">
        <v>66</v>
      </c>
      <c r="Y66" t="s">
        <v>66</v>
      </c>
      <c r="Z66" s="99" t="str">
        <f t="shared" ca="1" si="3"/>
        <v/>
      </c>
      <c r="AA66" s="101" t="str">
        <f t="shared" ca="1" si="4"/>
        <v/>
      </c>
    </row>
    <row r="67" spans="2:27" ht="27.6" customHeight="1">
      <c r="B67">
        <f t="shared" ca="1" si="0"/>
        <v>0</v>
      </c>
      <c r="C67" t="s">
        <v>36</v>
      </c>
      <c r="G67" s="75">
        <v>1</v>
      </c>
      <c r="J67" s="66" t="str">
        <f t="shared" ca="1" si="1"/>
        <v>14%</v>
      </c>
      <c r="K67" t="s">
        <v>59</v>
      </c>
      <c r="L67" s="66" t="str">
        <f t="shared" ca="1" si="2"/>
        <v>Sin costo</v>
      </c>
      <c r="M67" t="s">
        <v>64</v>
      </c>
      <c r="N67" t="s">
        <v>66</v>
      </c>
      <c r="O67" t="s">
        <v>66</v>
      </c>
      <c r="P67" t="s">
        <v>66</v>
      </c>
      <c r="R67" t="s">
        <v>66</v>
      </c>
      <c r="U67" t="s">
        <v>90</v>
      </c>
      <c r="V67" t="s">
        <v>66</v>
      </c>
      <c r="W67" t="s">
        <v>66</v>
      </c>
      <c r="X67" t="s">
        <v>66</v>
      </c>
      <c r="Y67" t="s">
        <v>66</v>
      </c>
      <c r="Z67" s="99" t="str">
        <f t="shared" ca="1" si="3"/>
        <v/>
      </c>
      <c r="AA67" s="101" t="str">
        <f t="shared" ca="1" si="4"/>
        <v/>
      </c>
    </row>
    <row r="68" spans="2:27" ht="27.6" customHeight="1">
      <c r="B68">
        <f t="shared" ca="1" si="0"/>
        <v>0</v>
      </c>
      <c r="C68" t="s">
        <v>36</v>
      </c>
      <c r="G68" s="75">
        <v>1</v>
      </c>
      <c r="J68" s="66" t="str">
        <f t="shared" ca="1" si="1"/>
        <v>14%</v>
      </c>
      <c r="K68" t="s">
        <v>59</v>
      </c>
      <c r="L68" s="66" t="str">
        <f t="shared" ca="1" si="2"/>
        <v>Sin costo</v>
      </c>
      <c r="M68" t="s">
        <v>64</v>
      </c>
      <c r="N68" t="s">
        <v>66</v>
      </c>
      <c r="O68" t="s">
        <v>66</v>
      </c>
      <c r="P68" t="s">
        <v>66</v>
      </c>
      <c r="R68" t="s">
        <v>66</v>
      </c>
      <c r="U68" t="s">
        <v>90</v>
      </c>
      <c r="V68" t="s">
        <v>66</v>
      </c>
      <c r="W68" t="s">
        <v>66</v>
      </c>
      <c r="X68" t="s">
        <v>66</v>
      </c>
      <c r="Y68" t="s">
        <v>66</v>
      </c>
      <c r="Z68" s="99" t="str">
        <f t="shared" ca="1" si="3"/>
        <v/>
      </c>
      <c r="AA68" s="101" t="str">
        <f t="shared" ca="1" si="4"/>
        <v/>
      </c>
    </row>
    <row r="69" spans="2:27" ht="27.6" customHeight="1">
      <c r="B69">
        <f t="shared" ca="1" si="0"/>
        <v>0</v>
      </c>
      <c r="C69" t="s">
        <v>36</v>
      </c>
      <c r="G69" s="75">
        <v>1</v>
      </c>
      <c r="J69" s="66" t="str">
        <f t="shared" ca="1" si="1"/>
        <v>14%</v>
      </c>
      <c r="K69" t="s">
        <v>59</v>
      </c>
      <c r="L69" s="66" t="str">
        <f t="shared" ca="1" si="2"/>
        <v>Sin costo</v>
      </c>
      <c r="M69" t="s">
        <v>64</v>
      </c>
      <c r="N69" t="s">
        <v>66</v>
      </c>
      <c r="O69" t="s">
        <v>66</v>
      </c>
      <c r="P69" t="s">
        <v>66</v>
      </c>
      <c r="R69" t="s">
        <v>66</v>
      </c>
      <c r="U69" t="s">
        <v>90</v>
      </c>
      <c r="V69" t="s">
        <v>66</v>
      </c>
      <c r="W69" t="s">
        <v>66</v>
      </c>
      <c r="X69" t="s">
        <v>66</v>
      </c>
      <c r="Y69" t="s">
        <v>66</v>
      </c>
      <c r="Z69" s="99" t="str">
        <f t="shared" ca="1" si="3"/>
        <v/>
      </c>
      <c r="AA69" s="101" t="str">
        <f t="shared" ca="1" si="4"/>
        <v/>
      </c>
    </row>
    <row r="70" spans="2:27" ht="27.6" customHeight="1">
      <c r="B70">
        <f t="shared" ca="1" si="0"/>
        <v>0</v>
      </c>
      <c r="C70" t="s">
        <v>36</v>
      </c>
      <c r="G70" s="75">
        <v>1</v>
      </c>
      <c r="J70" s="66" t="str">
        <f t="shared" ca="1" si="1"/>
        <v>14%</v>
      </c>
      <c r="K70" t="s">
        <v>59</v>
      </c>
      <c r="L70" s="66" t="str">
        <f t="shared" ca="1" si="2"/>
        <v>Sin costo</v>
      </c>
      <c r="M70" t="s">
        <v>64</v>
      </c>
      <c r="N70" t="s">
        <v>66</v>
      </c>
      <c r="O70" t="s">
        <v>66</v>
      </c>
      <c r="P70" t="s">
        <v>66</v>
      </c>
      <c r="R70" t="s">
        <v>66</v>
      </c>
      <c r="U70" t="s">
        <v>90</v>
      </c>
      <c r="V70" t="s">
        <v>66</v>
      </c>
      <c r="W70" t="s">
        <v>66</v>
      </c>
      <c r="X70" t="s">
        <v>66</v>
      </c>
      <c r="Y70" t="s">
        <v>66</v>
      </c>
      <c r="Z70" s="99" t="str">
        <f t="shared" ca="1" si="3"/>
        <v/>
      </c>
      <c r="AA70" s="101" t="str">
        <f t="shared" ca="1" si="4"/>
        <v/>
      </c>
    </row>
    <row r="71" spans="2:27" ht="27.6" customHeight="1">
      <c r="B71">
        <f t="shared" ref="B71:B134" ca="1" si="5">LEN(INDIRECT(ADDRESS(ROW() + (0),COLUMN() + (-1))))</f>
        <v>0</v>
      </c>
      <c r="C71" t="s">
        <v>36</v>
      </c>
      <c r="G71" s="75">
        <v>1</v>
      </c>
      <c r="J71" s="66" t="str">
        <f t="shared" ref="J71:J134" ca="1" si="6">IF(INDIRECT(ADDRESS(ROW() + (0),COLUMN() + (1)))="Agregar cuotas", IF(("14%")="", "-", "14%"), IF(INDIRECT(ADDRESS(ROW() + (0),COLUMN() + (1)))="No agregar cuotas", IF(("14%")="", "-", "14%"), "-"))</f>
        <v>14%</v>
      </c>
      <c r="K71" t="s">
        <v>59</v>
      </c>
      <c r="L71" s="66" t="str">
        <f t="shared" ref="L71:L134" ca="1" si="7">IF(INDIRECT(ADDRESS(ROW() + (0),COLUMN() + (-1)))="Agregar cuotas", IF(("13.9%")="", "Sin costo", "13.9%"), IF(INDIRECT(ADDRESS(ROW() + (0),COLUMN() + (-1)))="No agregar cuotas", IF(("")="", "Sin costo", ""), "-"))</f>
        <v>Sin costo</v>
      </c>
      <c r="M71" t="s">
        <v>64</v>
      </c>
      <c r="N71" t="s">
        <v>66</v>
      </c>
      <c r="O71" t="s">
        <v>66</v>
      </c>
      <c r="P71" t="s">
        <v>66</v>
      </c>
      <c r="R71" t="s">
        <v>66</v>
      </c>
      <c r="U71" t="s">
        <v>90</v>
      </c>
      <c r="V71" t="s">
        <v>66</v>
      </c>
      <c r="W71" t="s">
        <v>66</v>
      </c>
      <c r="X71" t="s">
        <v>66</v>
      </c>
      <c r="Y71" t="s">
        <v>66</v>
      </c>
      <c r="Z71" s="99" t="str">
        <f t="shared" ref="Z71:Z134" ca="1" si="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71" s="101" t="str">
        <f t="shared" ref="AA71:AA134" ca="1" si="9">IF(TRIM(INDIRECT("A"&amp;ROW())) &lt;&gt; "",FALSE,"")</f>
        <v/>
      </c>
    </row>
    <row r="72" spans="2:27" ht="27.6" customHeight="1">
      <c r="B72">
        <f t="shared" ca="1" si="5"/>
        <v>0</v>
      </c>
      <c r="C72" t="s">
        <v>36</v>
      </c>
      <c r="G72" s="75">
        <v>1</v>
      </c>
      <c r="J72" s="66" t="str">
        <f t="shared" ca="1" si="6"/>
        <v>14%</v>
      </c>
      <c r="K72" t="s">
        <v>59</v>
      </c>
      <c r="L72" s="66" t="str">
        <f t="shared" ca="1" si="7"/>
        <v>Sin costo</v>
      </c>
      <c r="M72" t="s">
        <v>64</v>
      </c>
      <c r="N72" t="s">
        <v>66</v>
      </c>
      <c r="O72" t="s">
        <v>66</v>
      </c>
      <c r="P72" t="s">
        <v>66</v>
      </c>
      <c r="R72" t="s">
        <v>66</v>
      </c>
      <c r="U72" t="s">
        <v>90</v>
      </c>
      <c r="V72" t="s">
        <v>66</v>
      </c>
      <c r="W72" t="s">
        <v>66</v>
      </c>
      <c r="X72" t="s">
        <v>66</v>
      </c>
      <c r="Y72" t="s">
        <v>66</v>
      </c>
      <c r="Z72" s="99" t="str">
        <f t="shared" ca="1" si="8"/>
        <v/>
      </c>
      <c r="AA72" s="101" t="str">
        <f t="shared" ca="1" si="9"/>
        <v/>
      </c>
    </row>
    <row r="73" spans="2:27" ht="27.6" customHeight="1">
      <c r="B73">
        <f t="shared" ca="1" si="5"/>
        <v>0</v>
      </c>
      <c r="C73" t="s">
        <v>36</v>
      </c>
      <c r="G73" s="75">
        <v>1</v>
      </c>
      <c r="J73" s="66" t="str">
        <f t="shared" ca="1" si="6"/>
        <v>14%</v>
      </c>
      <c r="K73" t="s">
        <v>59</v>
      </c>
      <c r="L73" s="66" t="str">
        <f t="shared" ca="1" si="7"/>
        <v>Sin costo</v>
      </c>
      <c r="M73" t="s">
        <v>64</v>
      </c>
      <c r="N73" t="s">
        <v>66</v>
      </c>
      <c r="O73" t="s">
        <v>66</v>
      </c>
      <c r="P73" t="s">
        <v>66</v>
      </c>
      <c r="R73" t="s">
        <v>66</v>
      </c>
      <c r="U73" t="s">
        <v>90</v>
      </c>
      <c r="V73" t="s">
        <v>66</v>
      </c>
      <c r="W73" t="s">
        <v>66</v>
      </c>
      <c r="X73" t="s">
        <v>66</v>
      </c>
      <c r="Y73" t="s">
        <v>66</v>
      </c>
      <c r="Z73" s="99" t="str">
        <f t="shared" ca="1" si="8"/>
        <v/>
      </c>
      <c r="AA73" s="101" t="str">
        <f t="shared" ca="1" si="9"/>
        <v/>
      </c>
    </row>
    <row r="74" spans="2:27" ht="27.6" customHeight="1">
      <c r="B74">
        <f t="shared" ca="1" si="5"/>
        <v>0</v>
      </c>
      <c r="C74" t="s">
        <v>36</v>
      </c>
      <c r="G74" s="75">
        <v>1</v>
      </c>
      <c r="J74" s="66" t="str">
        <f t="shared" ca="1" si="6"/>
        <v>14%</v>
      </c>
      <c r="K74" t="s">
        <v>59</v>
      </c>
      <c r="L74" s="66" t="str">
        <f t="shared" ca="1" si="7"/>
        <v>Sin costo</v>
      </c>
      <c r="M74" t="s">
        <v>64</v>
      </c>
      <c r="N74" t="s">
        <v>66</v>
      </c>
      <c r="O74" t="s">
        <v>66</v>
      </c>
      <c r="P74" t="s">
        <v>66</v>
      </c>
      <c r="R74" t="s">
        <v>66</v>
      </c>
      <c r="U74" t="s">
        <v>90</v>
      </c>
      <c r="V74" t="s">
        <v>66</v>
      </c>
      <c r="W74" t="s">
        <v>66</v>
      </c>
      <c r="X74" t="s">
        <v>66</v>
      </c>
      <c r="Y74" t="s">
        <v>66</v>
      </c>
      <c r="Z74" s="99" t="str">
        <f t="shared" ca="1" si="8"/>
        <v/>
      </c>
      <c r="AA74" s="101" t="str">
        <f t="shared" ca="1" si="9"/>
        <v/>
      </c>
    </row>
    <row r="75" spans="2:27" ht="27.6" customHeight="1">
      <c r="B75">
        <f t="shared" ca="1" si="5"/>
        <v>0</v>
      </c>
      <c r="C75" t="s">
        <v>36</v>
      </c>
      <c r="G75" s="75">
        <v>1</v>
      </c>
      <c r="J75" s="66" t="str">
        <f t="shared" ca="1" si="6"/>
        <v>14%</v>
      </c>
      <c r="K75" t="s">
        <v>59</v>
      </c>
      <c r="L75" s="66" t="str">
        <f t="shared" ca="1" si="7"/>
        <v>Sin costo</v>
      </c>
      <c r="M75" t="s">
        <v>64</v>
      </c>
      <c r="N75" t="s">
        <v>66</v>
      </c>
      <c r="O75" t="s">
        <v>66</v>
      </c>
      <c r="P75" t="s">
        <v>66</v>
      </c>
      <c r="R75" t="s">
        <v>66</v>
      </c>
      <c r="U75" t="s">
        <v>90</v>
      </c>
      <c r="V75" t="s">
        <v>66</v>
      </c>
      <c r="W75" t="s">
        <v>66</v>
      </c>
      <c r="X75" t="s">
        <v>66</v>
      </c>
      <c r="Y75" t="s">
        <v>66</v>
      </c>
      <c r="Z75" s="99" t="str">
        <f t="shared" ca="1" si="8"/>
        <v/>
      </c>
      <c r="AA75" s="101" t="str">
        <f t="shared" ca="1" si="9"/>
        <v/>
      </c>
    </row>
    <row r="76" spans="2:27" ht="27.6" customHeight="1">
      <c r="B76">
        <f t="shared" ca="1" si="5"/>
        <v>0</v>
      </c>
      <c r="C76" t="s">
        <v>36</v>
      </c>
      <c r="G76" s="75">
        <v>1</v>
      </c>
      <c r="J76" s="66" t="str">
        <f t="shared" ca="1" si="6"/>
        <v>14%</v>
      </c>
      <c r="K76" t="s">
        <v>59</v>
      </c>
      <c r="L76" s="66" t="str">
        <f t="shared" ca="1" si="7"/>
        <v>Sin costo</v>
      </c>
      <c r="M76" t="s">
        <v>64</v>
      </c>
      <c r="N76" t="s">
        <v>66</v>
      </c>
      <c r="O76" t="s">
        <v>66</v>
      </c>
      <c r="P76" t="s">
        <v>66</v>
      </c>
      <c r="R76" t="s">
        <v>66</v>
      </c>
      <c r="U76" t="s">
        <v>90</v>
      </c>
      <c r="V76" t="s">
        <v>66</v>
      </c>
      <c r="W76" t="s">
        <v>66</v>
      </c>
      <c r="X76" t="s">
        <v>66</v>
      </c>
      <c r="Y76" t="s">
        <v>66</v>
      </c>
      <c r="Z76" s="99" t="str">
        <f t="shared" ca="1" si="8"/>
        <v/>
      </c>
      <c r="AA76" s="101" t="str">
        <f t="shared" ca="1" si="9"/>
        <v/>
      </c>
    </row>
    <row r="77" spans="2:27" ht="27.6" customHeight="1">
      <c r="B77">
        <f t="shared" ca="1" si="5"/>
        <v>0</v>
      </c>
      <c r="C77" t="s">
        <v>36</v>
      </c>
      <c r="G77" s="75">
        <v>1</v>
      </c>
      <c r="J77" s="66" t="str">
        <f t="shared" ca="1" si="6"/>
        <v>14%</v>
      </c>
      <c r="K77" t="s">
        <v>59</v>
      </c>
      <c r="L77" s="66" t="str">
        <f t="shared" ca="1" si="7"/>
        <v>Sin costo</v>
      </c>
      <c r="M77" t="s">
        <v>64</v>
      </c>
      <c r="N77" t="s">
        <v>66</v>
      </c>
      <c r="O77" t="s">
        <v>66</v>
      </c>
      <c r="P77" t="s">
        <v>66</v>
      </c>
      <c r="R77" t="s">
        <v>66</v>
      </c>
      <c r="U77" t="s">
        <v>90</v>
      </c>
      <c r="V77" t="s">
        <v>66</v>
      </c>
      <c r="W77" t="s">
        <v>66</v>
      </c>
      <c r="X77" t="s">
        <v>66</v>
      </c>
      <c r="Y77" t="s">
        <v>66</v>
      </c>
      <c r="Z77" s="99" t="str">
        <f t="shared" ca="1" si="8"/>
        <v/>
      </c>
      <c r="AA77" s="101" t="str">
        <f t="shared" ca="1" si="9"/>
        <v/>
      </c>
    </row>
    <row r="78" spans="2:27" ht="27.6" customHeight="1">
      <c r="B78">
        <f t="shared" ca="1" si="5"/>
        <v>0</v>
      </c>
      <c r="C78" t="s">
        <v>36</v>
      </c>
      <c r="G78" s="75">
        <v>1</v>
      </c>
      <c r="J78" s="66" t="str">
        <f t="shared" ca="1" si="6"/>
        <v>14%</v>
      </c>
      <c r="K78" t="s">
        <v>59</v>
      </c>
      <c r="L78" s="66" t="str">
        <f t="shared" ca="1" si="7"/>
        <v>Sin costo</v>
      </c>
      <c r="M78" t="s">
        <v>64</v>
      </c>
      <c r="N78" t="s">
        <v>66</v>
      </c>
      <c r="O78" t="s">
        <v>66</v>
      </c>
      <c r="P78" t="s">
        <v>66</v>
      </c>
      <c r="R78" t="s">
        <v>66</v>
      </c>
      <c r="U78" t="s">
        <v>90</v>
      </c>
      <c r="V78" t="s">
        <v>66</v>
      </c>
      <c r="W78" t="s">
        <v>66</v>
      </c>
      <c r="X78" t="s">
        <v>66</v>
      </c>
      <c r="Y78" t="s">
        <v>66</v>
      </c>
      <c r="Z78" s="99" t="str">
        <f t="shared" ca="1" si="8"/>
        <v/>
      </c>
      <c r="AA78" s="101" t="str">
        <f t="shared" ca="1" si="9"/>
        <v/>
      </c>
    </row>
    <row r="79" spans="2:27" ht="27.6" customHeight="1">
      <c r="B79">
        <f t="shared" ca="1" si="5"/>
        <v>0</v>
      </c>
      <c r="C79" t="s">
        <v>36</v>
      </c>
      <c r="G79" s="75">
        <v>1</v>
      </c>
      <c r="J79" s="66" t="str">
        <f t="shared" ca="1" si="6"/>
        <v>14%</v>
      </c>
      <c r="K79" t="s">
        <v>59</v>
      </c>
      <c r="L79" s="66" t="str">
        <f t="shared" ca="1" si="7"/>
        <v>Sin costo</v>
      </c>
      <c r="M79" t="s">
        <v>64</v>
      </c>
      <c r="N79" t="s">
        <v>66</v>
      </c>
      <c r="O79" t="s">
        <v>66</v>
      </c>
      <c r="P79" t="s">
        <v>66</v>
      </c>
      <c r="R79" t="s">
        <v>66</v>
      </c>
      <c r="U79" t="s">
        <v>90</v>
      </c>
      <c r="V79" t="s">
        <v>66</v>
      </c>
      <c r="W79" t="s">
        <v>66</v>
      </c>
      <c r="X79" t="s">
        <v>66</v>
      </c>
      <c r="Y79" t="s">
        <v>66</v>
      </c>
      <c r="Z79" s="99" t="str">
        <f t="shared" ca="1" si="8"/>
        <v/>
      </c>
      <c r="AA79" s="101" t="str">
        <f t="shared" ca="1" si="9"/>
        <v/>
      </c>
    </row>
    <row r="80" spans="2:27" ht="27.6" customHeight="1">
      <c r="B80">
        <f t="shared" ca="1" si="5"/>
        <v>0</v>
      </c>
      <c r="C80" t="s">
        <v>36</v>
      </c>
      <c r="G80" s="75">
        <v>1</v>
      </c>
      <c r="J80" s="66" t="str">
        <f t="shared" ca="1" si="6"/>
        <v>14%</v>
      </c>
      <c r="K80" t="s">
        <v>59</v>
      </c>
      <c r="L80" s="66" t="str">
        <f t="shared" ca="1" si="7"/>
        <v>Sin costo</v>
      </c>
      <c r="M80" t="s">
        <v>64</v>
      </c>
      <c r="N80" t="s">
        <v>66</v>
      </c>
      <c r="O80" t="s">
        <v>66</v>
      </c>
      <c r="P80" t="s">
        <v>66</v>
      </c>
      <c r="R80" t="s">
        <v>66</v>
      </c>
      <c r="U80" t="s">
        <v>90</v>
      </c>
      <c r="V80" t="s">
        <v>66</v>
      </c>
      <c r="W80" t="s">
        <v>66</v>
      </c>
      <c r="X80" t="s">
        <v>66</v>
      </c>
      <c r="Y80" t="s">
        <v>66</v>
      </c>
      <c r="Z80" s="99" t="str">
        <f t="shared" ca="1" si="8"/>
        <v/>
      </c>
      <c r="AA80" s="101" t="str">
        <f t="shared" ca="1" si="9"/>
        <v/>
      </c>
    </row>
    <row r="81" spans="2:27" ht="27.6" customHeight="1">
      <c r="B81">
        <f t="shared" ca="1" si="5"/>
        <v>0</v>
      </c>
      <c r="C81" t="s">
        <v>36</v>
      </c>
      <c r="G81" s="75">
        <v>1</v>
      </c>
      <c r="J81" s="66" t="str">
        <f t="shared" ca="1" si="6"/>
        <v>14%</v>
      </c>
      <c r="K81" t="s">
        <v>59</v>
      </c>
      <c r="L81" s="66" t="str">
        <f t="shared" ca="1" si="7"/>
        <v>Sin costo</v>
      </c>
      <c r="M81" t="s">
        <v>64</v>
      </c>
      <c r="N81" t="s">
        <v>66</v>
      </c>
      <c r="O81" t="s">
        <v>66</v>
      </c>
      <c r="P81" t="s">
        <v>66</v>
      </c>
      <c r="R81" t="s">
        <v>66</v>
      </c>
      <c r="U81" t="s">
        <v>90</v>
      </c>
      <c r="V81" t="s">
        <v>66</v>
      </c>
      <c r="W81" t="s">
        <v>66</v>
      </c>
      <c r="X81" t="s">
        <v>66</v>
      </c>
      <c r="Y81" t="s">
        <v>66</v>
      </c>
      <c r="Z81" s="99" t="str">
        <f t="shared" ca="1" si="8"/>
        <v/>
      </c>
      <c r="AA81" s="101" t="str">
        <f t="shared" ca="1" si="9"/>
        <v/>
      </c>
    </row>
    <row r="82" spans="2:27" ht="27.6" customHeight="1">
      <c r="B82">
        <f t="shared" ca="1" si="5"/>
        <v>0</v>
      </c>
      <c r="C82" t="s">
        <v>36</v>
      </c>
      <c r="G82" s="75">
        <v>1</v>
      </c>
      <c r="J82" s="66" t="str">
        <f t="shared" ca="1" si="6"/>
        <v>14%</v>
      </c>
      <c r="K82" t="s">
        <v>59</v>
      </c>
      <c r="L82" s="66" t="str">
        <f t="shared" ca="1" si="7"/>
        <v>Sin costo</v>
      </c>
      <c r="M82" t="s">
        <v>64</v>
      </c>
      <c r="N82" t="s">
        <v>66</v>
      </c>
      <c r="O82" t="s">
        <v>66</v>
      </c>
      <c r="P82" t="s">
        <v>66</v>
      </c>
      <c r="R82" t="s">
        <v>66</v>
      </c>
      <c r="U82" t="s">
        <v>90</v>
      </c>
      <c r="V82" t="s">
        <v>66</v>
      </c>
      <c r="W82" t="s">
        <v>66</v>
      </c>
      <c r="X82" t="s">
        <v>66</v>
      </c>
      <c r="Y82" t="s">
        <v>66</v>
      </c>
      <c r="Z82" s="99" t="str">
        <f t="shared" ca="1" si="8"/>
        <v/>
      </c>
      <c r="AA82" s="101" t="str">
        <f t="shared" ca="1" si="9"/>
        <v/>
      </c>
    </row>
    <row r="83" spans="2:27" ht="27.6" customHeight="1">
      <c r="B83">
        <f t="shared" ca="1" si="5"/>
        <v>0</v>
      </c>
      <c r="C83" t="s">
        <v>36</v>
      </c>
      <c r="G83" s="75">
        <v>1</v>
      </c>
      <c r="J83" s="66" t="str">
        <f t="shared" ca="1" si="6"/>
        <v>14%</v>
      </c>
      <c r="K83" t="s">
        <v>59</v>
      </c>
      <c r="L83" s="66" t="str">
        <f t="shared" ca="1" si="7"/>
        <v>Sin costo</v>
      </c>
      <c r="M83" t="s">
        <v>64</v>
      </c>
      <c r="N83" t="s">
        <v>66</v>
      </c>
      <c r="O83" t="s">
        <v>66</v>
      </c>
      <c r="P83" t="s">
        <v>66</v>
      </c>
      <c r="R83" t="s">
        <v>66</v>
      </c>
      <c r="U83" t="s">
        <v>90</v>
      </c>
      <c r="V83" t="s">
        <v>66</v>
      </c>
      <c r="W83" t="s">
        <v>66</v>
      </c>
      <c r="X83" t="s">
        <v>66</v>
      </c>
      <c r="Y83" t="s">
        <v>66</v>
      </c>
      <c r="Z83" s="99" t="str">
        <f t="shared" ca="1" si="8"/>
        <v/>
      </c>
      <c r="AA83" s="101" t="str">
        <f t="shared" ca="1" si="9"/>
        <v/>
      </c>
    </row>
    <row r="84" spans="2:27" ht="27.6" customHeight="1">
      <c r="B84">
        <f t="shared" ca="1" si="5"/>
        <v>0</v>
      </c>
      <c r="C84" t="s">
        <v>36</v>
      </c>
      <c r="G84" s="75">
        <v>1</v>
      </c>
      <c r="J84" s="66" t="str">
        <f t="shared" ca="1" si="6"/>
        <v>14%</v>
      </c>
      <c r="K84" t="s">
        <v>59</v>
      </c>
      <c r="L84" s="66" t="str">
        <f t="shared" ca="1" si="7"/>
        <v>Sin costo</v>
      </c>
      <c r="M84" t="s">
        <v>64</v>
      </c>
      <c r="N84" t="s">
        <v>66</v>
      </c>
      <c r="O84" t="s">
        <v>66</v>
      </c>
      <c r="P84" t="s">
        <v>66</v>
      </c>
      <c r="R84" t="s">
        <v>66</v>
      </c>
      <c r="U84" t="s">
        <v>90</v>
      </c>
      <c r="V84" t="s">
        <v>66</v>
      </c>
      <c r="W84" t="s">
        <v>66</v>
      </c>
      <c r="X84" t="s">
        <v>66</v>
      </c>
      <c r="Y84" t="s">
        <v>66</v>
      </c>
      <c r="Z84" s="99" t="str">
        <f t="shared" ca="1" si="8"/>
        <v/>
      </c>
      <c r="AA84" s="101" t="str">
        <f t="shared" ca="1" si="9"/>
        <v/>
      </c>
    </row>
    <row r="85" spans="2:27" ht="27.6" customHeight="1">
      <c r="B85">
        <f t="shared" ca="1" si="5"/>
        <v>0</v>
      </c>
      <c r="C85" t="s">
        <v>36</v>
      </c>
      <c r="G85" s="75">
        <v>1</v>
      </c>
      <c r="J85" s="66" t="str">
        <f t="shared" ca="1" si="6"/>
        <v>14%</v>
      </c>
      <c r="K85" t="s">
        <v>59</v>
      </c>
      <c r="L85" s="66" t="str">
        <f t="shared" ca="1" si="7"/>
        <v>Sin costo</v>
      </c>
      <c r="M85" t="s">
        <v>64</v>
      </c>
      <c r="N85" t="s">
        <v>66</v>
      </c>
      <c r="O85" t="s">
        <v>66</v>
      </c>
      <c r="P85" t="s">
        <v>66</v>
      </c>
      <c r="R85" t="s">
        <v>66</v>
      </c>
      <c r="U85" t="s">
        <v>90</v>
      </c>
      <c r="V85" t="s">
        <v>66</v>
      </c>
      <c r="W85" t="s">
        <v>66</v>
      </c>
      <c r="X85" t="s">
        <v>66</v>
      </c>
      <c r="Y85" t="s">
        <v>66</v>
      </c>
      <c r="Z85" s="99" t="str">
        <f t="shared" ca="1" si="8"/>
        <v/>
      </c>
      <c r="AA85" s="101" t="str">
        <f t="shared" ca="1" si="9"/>
        <v/>
      </c>
    </row>
    <row r="86" spans="2:27" ht="27.6" customHeight="1">
      <c r="B86">
        <f t="shared" ca="1" si="5"/>
        <v>0</v>
      </c>
      <c r="C86" t="s">
        <v>36</v>
      </c>
      <c r="G86" s="75">
        <v>1</v>
      </c>
      <c r="J86" s="66" t="str">
        <f t="shared" ca="1" si="6"/>
        <v>14%</v>
      </c>
      <c r="K86" t="s">
        <v>59</v>
      </c>
      <c r="L86" s="66" t="str">
        <f t="shared" ca="1" si="7"/>
        <v>Sin costo</v>
      </c>
      <c r="M86" t="s">
        <v>64</v>
      </c>
      <c r="N86" t="s">
        <v>66</v>
      </c>
      <c r="O86" t="s">
        <v>66</v>
      </c>
      <c r="P86" t="s">
        <v>66</v>
      </c>
      <c r="R86" t="s">
        <v>66</v>
      </c>
      <c r="U86" t="s">
        <v>90</v>
      </c>
      <c r="V86" t="s">
        <v>66</v>
      </c>
      <c r="W86" t="s">
        <v>66</v>
      </c>
      <c r="X86" t="s">
        <v>66</v>
      </c>
      <c r="Y86" t="s">
        <v>66</v>
      </c>
      <c r="Z86" s="99" t="str">
        <f t="shared" ca="1" si="8"/>
        <v/>
      </c>
      <c r="AA86" s="101" t="str">
        <f t="shared" ca="1" si="9"/>
        <v/>
      </c>
    </row>
    <row r="87" spans="2:27" ht="27.6" customHeight="1">
      <c r="B87">
        <f t="shared" ca="1" si="5"/>
        <v>0</v>
      </c>
      <c r="C87" t="s">
        <v>36</v>
      </c>
      <c r="G87" s="75">
        <v>1</v>
      </c>
      <c r="J87" s="66" t="str">
        <f t="shared" ca="1" si="6"/>
        <v>14%</v>
      </c>
      <c r="K87" t="s">
        <v>59</v>
      </c>
      <c r="L87" s="66" t="str">
        <f t="shared" ca="1" si="7"/>
        <v>Sin costo</v>
      </c>
      <c r="M87" t="s">
        <v>64</v>
      </c>
      <c r="N87" t="s">
        <v>66</v>
      </c>
      <c r="O87" t="s">
        <v>66</v>
      </c>
      <c r="P87" t="s">
        <v>66</v>
      </c>
      <c r="R87" t="s">
        <v>66</v>
      </c>
      <c r="U87" t="s">
        <v>90</v>
      </c>
      <c r="V87" t="s">
        <v>66</v>
      </c>
      <c r="W87" t="s">
        <v>66</v>
      </c>
      <c r="X87" t="s">
        <v>66</v>
      </c>
      <c r="Y87" t="s">
        <v>66</v>
      </c>
      <c r="Z87" s="99" t="str">
        <f t="shared" ca="1" si="8"/>
        <v/>
      </c>
      <c r="AA87" s="101" t="str">
        <f t="shared" ca="1" si="9"/>
        <v/>
      </c>
    </row>
    <row r="88" spans="2:27" ht="27.6" customHeight="1">
      <c r="B88">
        <f t="shared" ca="1" si="5"/>
        <v>0</v>
      </c>
      <c r="C88" t="s">
        <v>36</v>
      </c>
      <c r="G88" s="75">
        <v>1</v>
      </c>
      <c r="J88" s="66" t="str">
        <f t="shared" ca="1" si="6"/>
        <v>14%</v>
      </c>
      <c r="K88" t="s">
        <v>59</v>
      </c>
      <c r="L88" s="66" t="str">
        <f t="shared" ca="1" si="7"/>
        <v>Sin costo</v>
      </c>
      <c r="M88" t="s">
        <v>64</v>
      </c>
      <c r="N88" t="s">
        <v>66</v>
      </c>
      <c r="O88" t="s">
        <v>66</v>
      </c>
      <c r="P88" t="s">
        <v>66</v>
      </c>
      <c r="R88" t="s">
        <v>66</v>
      </c>
      <c r="U88" t="s">
        <v>90</v>
      </c>
      <c r="V88" t="s">
        <v>66</v>
      </c>
      <c r="W88" t="s">
        <v>66</v>
      </c>
      <c r="X88" t="s">
        <v>66</v>
      </c>
      <c r="Y88" t="s">
        <v>66</v>
      </c>
      <c r="Z88" s="99" t="str">
        <f t="shared" ca="1" si="8"/>
        <v/>
      </c>
      <c r="AA88" s="101" t="str">
        <f t="shared" ca="1" si="9"/>
        <v/>
      </c>
    </row>
    <row r="89" spans="2:27" ht="27.6" customHeight="1">
      <c r="B89">
        <f t="shared" ca="1" si="5"/>
        <v>0</v>
      </c>
      <c r="C89" t="s">
        <v>36</v>
      </c>
      <c r="G89" s="75">
        <v>1</v>
      </c>
      <c r="J89" s="66" t="str">
        <f t="shared" ca="1" si="6"/>
        <v>14%</v>
      </c>
      <c r="K89" t="s">
        <v>59</v>
      </c>
      <c r="L89" s="66" t="str">
        <f t="shared" ca="1" si="7"/>
        <v>Sin costo</v>
      </c>
      <c r="M89" t="s">
        <v>64</v>
      </c>
      <c r="N89" t="s">
        <v>66</v>
      </c>
      <c r="O89" t="s">
        <v>66</v>
      </c>
      <c r="P89" t="s">
        <v>66</v>
      </c>
      <c r="R89" t="s">
        <v>66</v>
      </c>
      <c r="U89" t="s">
        <v>90</v>
      </c>
      <c r="V89" t="s">
        <v>66</v>
      </c>
      <c r="W89" t="s">
        <v>66</v>
      </c>
      <c r="X89" t="s">
        <v>66</v>
      </c>
      <c r="Y89" t="s">
        <v>66</v>
      </c>
      <c r="Z89" s="99" t="str">
        <f t="shared" ca="1" si="8"/>
        <v/>
      </c>
      <c r="AA89" s="101" t="str">
        <f t="shared" ca="1" si="9"/>
        <v/>
      </c>
    </row>
    <row r="90" spans="2:27" ht="27.6" customHeight="1">
      <c r="B90">
        <f t="shared" ca="1" si="5"/>
        <v>0</v>
      </c>
      <c r="C90" t="s">
        <v>36</v>
      </c>
      <c r="G90" s="75">
        <v>1</v>
      </c>
      <c r="J90" s="66" t="str">
        <f t="shared" ca="1" si="6"/>
        <v>14%</v>
      </c>
      <c r="K90" t="s">
        <v>59</v>
      </c>
      <c r="L90" s="66" t="str">
        <f t="shared" ca="1" si="7"/>
        <v>Sin costo</v>
      </c>
      <c r="M90" t="s">
        <v>64</v>
      </c>
      <c r="N90" t="s">
        <v>66</v>
      </c>
      <c r="O90" t="s">
        <v>66</v>
      </c>
      <c r="P90" t="s">
        <v>66</v>
      </c>
      <c r="R90" t="s">
        <v>66</v>
      </c>
      <c r="U90" t="s">
        <v>90</v>
      </c>
      <c r="V90" t="s">
        <v>66</v>
      </c>
      <c r="W90" t="s">
        <v>66</v>
      </c>
      <c r="X90" t="s">
        <v>66</v>
      </c>
      <c r="Y90" t="s">
        <v>66</v>
      </c>
      <c r="Z90" s="99" t="str">
        <f t="shared" ca="1" si="8"/>
        <v/>
      </c>
      <c r="AA90" s="101" t="str">
        <f t="shared" ca="1" si="9"/>
        <v/>
      </c>
    </row>
    <row r="91" spans="2:27" ht="27.6" customHeight="1">
      <c r="B91">
        <f t="shared" ca="1" si="5"/>
        <v>0</v>
      </c>
      <c r="C91" t="s">
        <v>36</v>
      </c>
      <c r="G91" s="75">
        <v>1</v>
      </c>
      <c r="J91" s="66" t="str">
        <f t="shared" ca="1" si="6"/>
        <v>14%</v>
      </c>
      <c r="K91" t="s">
        <v>59</v>
      </c>
      <c r="L91" s="66" t="str">
        <f t="shared" ca="1" si="7"/>
        <v>Sin costo</v>
      </c>
      <c r="M91" t="s">
        <v>64</v>
      </c>
      <c r="N91" t="s">
        <v>66</v>
      </c>
      <c r="O91" t="s">
        <v>66</v>
      </c>
      <c r="P91" t="s">
        <v>66</v>
      </c>
      <c r="R91" t="s">
        <v>66</v>
      </c>
      <c r="U91" t="s">
        <v>90</v>
      </c>
      <c r="V91" t="s">
        <v>66</v>
      </c>
      <c r="W91" t="s">
        <v>66</v>
      </c>
      <c r="X91" t="s">
        <v>66</v>
      </c>
      <c r="Y91" t="s">
        <v>66</v>
      </c>
      <c r="Z91" s="99" t="str">
        <f t="shared" ca="1" si="8"/>
        <v/>
      </c>
      <c r="AA91" s="101" t="str">
        <f t="shared" ca="1" si="9"/>
        <v/>
      </c>
    </row>
    <row r="92" spans="2:27" ht="27.6" customHeight="1">
      <c r="B92">
        <f t="shared" ca="1" si="5"/>
        <v>0</v>
      </c>
      <c r="C92" t="s">
        <v>36</v>
      </c>
      <c r="G92" s="75">
        <v>1</v>
      </c>
      <c r="J92" s="66" t="str">
        <f t="shared" ca="1" si="6"/>
        <v>14%</v>
      </c>
      <c r="K92" t="s">
        <v>59</v>
      </c>
      <c r="L92" s="66" t="str">
        <f t="shared" ca="1" si="7"/>
        <v>Sin costo</v>
      </c>
      <c r="M92" t="s">
        <v>64</v>
      </c>
      <c r="N92" t="s">
        <v>66</v>
      </c>
      <c r="O92" t="s">
        <v>66</v>
      </c>
      <c r="P92" t="s">
        <v>66</v>
      </c>
      <c r="R92" t="s">
        <v>66</v>
      </c>
      <c r="U92" t="s">
        <v>90</v>
      </c>
      <c r="V92" t="s">
        <v>66</v>
      </c>
      <c r="W92" t="s">
        <v>66</v>
      </c>
      <c r="X92" t="s">
        <v>66</v>
      </c>
      <c r="Y92" t="s">
        <v>66</v>
      </c>
      <c r="Z92" s="99" t="str">
        <f t="shared" ca="1" si="8"/>
        <v/>
      </c>
      <c r="AA92" s="101" t="str">
        <f t="shared" ca="1" si="9"/>
        <v/>
      </c>
    </row>
    <row r="93" spans="2:27" ht="27.6" customHeight="1">
      <c r="B93">
        <f t="shared" ca="1" si="5"/>
        <v>0</v>
      </c>
      <c r="C93" t="s">
        <v>36</v>
      </c>
      <c r="G93" s="75">
        <v>1</v>
      </c>
      <c r="J93" s="66" t="str">
        <f t="shared" ca="1" si="6"/>
        <v>14%</v>
      </c>
      <c r="K93" t="s">
        <v>59</v>
      </c>
      <c r="L93" s="66" t="str">
        <f t="shared" ca="1" si="7"/>
        <v>Sin costo</v>
      </c>
      <c r="M93" t="s">
        <v>64</v>
      </c>
      <c r="N93" t="s">
        <v>66</v>
      </c>
      <c r="O93" t="s">
        <v>66</v>
      </c>
      <c r="P93" t="s">
        <v>66</v>
      </c>
      <c r="R93" t="s">
        <v>66</v>
      </c>
      <c r="U93" t="s">
        <v>90</v>
      </c>
      <c r="V93" t="s">
        <v>66</v>
      </c>
      <c r="W93" t="s">
        <v>66</v>
      </c>
      <c r="X93" t="s">
        <v>66</v>
      </c>
      <c r="Y93" t="s">
        <v>66</v>
      </c>
      <c r="Z93" s="99" t="str">
        <f t="shared" ca="1" si="8"/>
        <v/>
      </c>
      <c r="AA93" s="101" t="str">
        <f t="shared" ca="1" si="9"/>
        <v/>
      </c>
    </row>
    <row r="94" spans="2:27" ht="27.6" customHeight="1">
      <c r="B94">
        <f t="shared" ca="1" si="5"/>
        <v>0</v>
      </c>
      <c r="C94" t="s">
        <v>36</v>
      </c>
      <c r="G94" s="75">
        <v>1</v>
      </c>
      <c r="J94" s="66" t="str">
        <f t="shared" ca="1" si="6"/>
        <v>14%</v>
      </c>
      <c r="K94" t="s">
        <v>59</v>
      </c>
      <c r="L94" s="66" t="str">
        <f t="shared" ca="1" si="7"/>
        <v>Sin costo</v>
      </c>
      <c r="M94" t="s">
        <v>64</v>
      </c>
      <c r="N94" t="s">
        <v>66</v>
      </c>
      <c r="O94" t="s">
        <v>66</v>
      </c>
      <c r="P94" t="s">
        <v>66</v>
      </c>
      <c r="R94" t="s">
        <v>66</v>
      </c>
      <c r="U94" t="s">
        <v>90</v>
      </c>
      <c r="V94" t="s">
        <v>66</v>
      </c>
      <c r="W94" t="s">
        <v>66</v>
      </c>
      <c r="X94" t="s">
        <v>66</v>
      </c>
      <c r="Y94" t="s">
        <v>66</v>
      </c>
      <c r="Z94" s="99" t="str">
        <f t="shared" ca="1" si="8"/>
        <v/>
      </c>
      <c r="AA94" s="101" t="str">
        <f t="shared" ca="1" si="9"/>
        <v/>
      </c>
    </row>
    <row r="95" spans="2:27" ht="27.6" customHeight="1">
      <c r="B95">
        <f t="shared" ca="1" si="5"/>
        <v>0</v>
      </c>
      <c r="C95" t="s">
        <v>36</v>
      </c>
      <c r="G95" s="75">
        <v>1</v>
      </c>
      <c r="J95" s="66" t="str">
        <f t="shared" ca="1" si="6"/>
        <v>14%</v>
      </c>
      <c r="K95" t="s">
        <v>59</v>
      </c>
      <c r="L95" s="66" t="str">
        <f t="shared" ca="1" si="7"/>
        <v>Sin costo</v>
      </c>
      <c r="M95" t="s">
        <v>64</v>
      </c>
      <c r="N95" t="s">
        <v>66</v>
      </c>
      <c r="O95" t="s">
        <v>66</v>
      </c>
      <c r="P95" t="s">
        <v>66</v>
      </c>
      <c r="R95" t="s">
        <v>66</v>
      </c>
      <c r="U95" t="s">
        <v>90</v>
      </c>
      <c r="V95" t="s">
        <v>66</v>
      </c>
      <c r="W95" t="s">
        <v>66</v>
      </c>
      <c r="X95" t="s">
        <v>66</v>
      </c>
      <c r="Y95" t="s">
        <v>66</v>
      </c>
      <c r="Z95" s="99" t="str">
        <f t="shared" ca="1" si="8"/>
        <v/>
      </c>
      <c r="AA95" s="101" t="str">
        <f t="shared" ca="1" si="9"/>
        <v/>
      </c>
    </row>
    <row r="96" spans="2:27" ht="27.6" customHeight="1">
      <c r="B96">
        <f t="shared" ca="1" si="5"/>
        <v>0</v>
      </c>
      <c r="C96" t="s">
        <v>36</v>
      </c>
      <c r="G96" s="75">
        <v>1</v>
      </c>
      <c r="J96" s="66" t="str">
        <f t="shared" ca="1" si="6"/>
        <v>14%</v>
      </c>
      <c r="K96" t="s">
        <v>59</v>
      </c>
      <c r="L96" s="66" t="str">
        <f t="shared" ca="1" si="7"/>
        <v>Sin costo</v>
      </c>
      <c r="M96" t="s">
        <v>64</v>
      </c>
      <c r="N96" t="s">
        <v>66</v>
      </c>
      <c r="O96" t="s">
        <v>66</v>
      </c>
      <c r="P96" t="s">
        <v>66</v>
      </c>
      <c r="R96" t="s">
        <v>66</v>
      </c>
      <c r="U96" t="s">
        <v>90</v>
      </c>
      <c r="V96" t="s">
        <v>66</v>
      </c>
      <c r="W96" t="s">
        <v>66</v>
      </c>
      <c r="X96" t="s">
        <v>66</v>
      </c>
      <c r="Y96" t="s">
        <v>66</v>
      </c>
      <c r="Z96" s="99" t="str">
        <f t="shared" ca="1" si="8"/>
        <v/>
      </c>
      <c r="AA96" s="101" t="str">
        <f t="shared" ca="1" si="9"/>
        <v/>
      </c>
    </row>
    <row r="97" spans="2:27" ht="27.6" customHeight="1">
      <c r="B97">
        <f t="shared" ca="1" si="5"/>
        <v>0</v>
      </c>
      <c r="C97" t="s">
        <v>36</v>
      </c>
      <c r="G97" s="75">
        <v>1</v>
      </c>
      <c r="J97" s="66" t="str">
        <f t="shared" ca="1" si="6"/>
        <v>14%</v>
      </c>
      <c r="K97" t="s">
        <v>59</v>
      </c>
      <c r="L97" s="66" t="str">
        <f t="shared" ca="1" si="7"/>
        <v>Sin costo</v>
      </c>
      <c r="M97" t="s">
        <v>64</v>
      </c>
      <c r="N97" t="s">
        <v>66</v>
      </c>
      <c r="O97" t="s">
        <v>66</v>
      </c>
      <c r="P97" t="s">
        <v>66</v>
      </c>
      <c r="R97" t="s">
        <v>66</v>
      </c>
      <c r="U97" t="s">
        <v>90</v>
      </c>
      <c r="V97" t="s">
        <v>66</v>
      </c>
      <c r="W97" t="s">
        <v>66</v>
      </c>
      <c r="X97" t="s">
        <v>66</v>
      </c>
      <c r="Y97" t="s">
        <v>66</v>
      </c>
      <c r="Z97" s="99" t="str">
        <f t="shared" ca="1" si="8"/>
        <v/>
      </c>
      <c r="AA97" s="101" t="str">
        <f t="shared" ca="1" si="9"/>
        <v/>
      </c>
    </row>
    <row r="98" spans="2:27" ht="27.6" customHeight="1">
      <c r="B98">
        <f t="shared" ca="1" si="5"/>
        <v>0</v>
      </c>
      <c r="C98" t="s">
        <v>36</v>
      </c>
      <c r="G98" s="75">
        <v>1</v>
      </c>
      <c r="J98" s="66" t="str">
        <f t="shared" ca="1" si="6"/>
        <v>14%</v>
      </c>
      <c r="K98" t="s">
        <v>59</v>
      </c>
      <c r="L98" s="66" t="str">
        <f t="shared" ca="1" si="7"/>
        <v>Sin costo</v>
      </c>
      <c r="M98" t="s">
        <v>64</v>
      </c>
      <c r="N98" t="s">
        <v>66</v>
      </c>
      <c r="O98" t="s">
        <v>66</v>
      </c>
      <c r="P98" t="s">
        <v>66</v>
      </c>
      <c r="R98" t="s">
        <v>66</v>
      </c>
      <c r="U98" t="s">
        <v>90</v>
      </c>
      <c r="V98" t="s">
        <v>66</v>
      </c>
      <c r="W98" t="s">
        <v>66</v>
      </c>
      <c r="X98" t="s">
        <v>66</v>
      </c>
      <c r="Y98" t="s">
        <v>66</v>
      </c>
      <c r="Z98" s="99" t="str">
        <f t="shared" ca="1" si="8"/>
        <v/>
      </c>
      <c r="AA98" s="101" t="str">
        <f t="shared" ca="1" si="9"/>
        <v/>
      </c>
    </row>
    <row r="99" spans="2:27" ht="27.6" customHeight="1">
      <c r="B99">
        <f t="shared" ca="1" si="5"/>
        <v>0</v>
      </c>
      <c r="C99" t="s">
        <v>36</v>
      </c>
      <c r="G99" s="75">
        <v>1</v>
      </c>
      <c r="J99" s="66" t="str">
        <f t="shared" ca="1" si="6"/>
        <v>14%</v>
      </c>
      <c r="K99" t="s">
        <v>59</v>
      </c>
      <c r="L99" s="66" t="str">
        <f t="shared" ca="1" si="7"/>
        <v>Sin costo</v>
      </c>
      <c r="M99" t="s">
        <v>64</v>
      </c>
      <c r="N99" t="s">
        <v>66</v>
      </c>
      <c r="O99" t="s">
        <v>66</v>
      </c>
      <c r="P99" t="s">
        <v>66</v>
      </c>
      <c r="R99" t="s">
        <v>66</v>
      </c>
      <c r="U99" t="s">
        <v>90</v>
      </c>
      <c r="V99" t="s">
        <v>66</v>
      </c>
      <c r="W99" t="s">
        <v>66</v>
      </c>
      <c r="X99" t="s">
        <v>66</v>
      </c>
      <c r="Y99" t="s">
        <v>66</v>
      </c>
      <c r="Z99" s="99" t="str">
        <f t="shared" ca="1" si="8"/>
        <v/>
      </c>
      <c r="AA99" s="101" t="str">
        <f t="shared" ca="1" si="9"/>
        <v/>
      </c>
    </row>
    <row r="100" spans="2:27" ht="27.6" customHeight="1">
      <c r="B100">
        <f t="shared" ca="1" si="5"/>
        <v>0</v>
      </c>
      <c r="C100" t="s">
        <v>36</v>
      </c>
      <c r="G100" s="75">
        <v>1</v>
      </c>
      <c r="J100" s="66" t="str">
        <f t="shared" ca="1" si="6"/>
        <v>14%</v>
      </c>
      <c r="K100" t="s">
        <v>59</v>
      </c>
      <c r="L100" s="66" t="str">
        <f t="shared" ca="1" si="7"/>
        <v>Sin costo</v>
      </c>
      <c r="M100" t="s">
        <v>64</v>
      </c>
      <c r="N100" t="s">
        <v>66</v>
      </c>
      <c r="O100" t="s">
        <v>66</v>
      </c>
      <c r="P100" t="s">
        <v>66</v>
      </c>
      <c r="R100" t="s">
        <v>66</v>
      </c>
      <c r="U100" t="s">
        <v>90</v>
      </c>
      <c r="V100" t="s">
        <v>66</v>
      </c>
      <c r="W100" t="s">
        <v>66</v>
      </c>
      <c r="X100" t="s">
        <v>66</v>
      </c>
      <c r="Y100" t="s">
        <v>66</v>
      </c>
      <c r="Z100" s="99" t="str">
        <f t="shared" ca="1" si="8"/>
        <v/>
      </c>
      <c r="AA100" s="101" t="str">
        <f t="shared" ca="1" si="9"/>
        <v/>
      </c>
    </row>
    <row r="101" spans="2:27" ht="27.6" customHeight="1">
      <c r="B101">
        <f t="shared" ca="1" si="5"/>
        <v>0</v>
      </c>
      <c r="C101" t="s">
        <v>36</v>
      </c>
      <c r="G101" s="75">
        <v>1</v>
      </c>
      <c r="J101" s="66" t="str">
        <f t="shared" ca="1" si="6"/>
        <v>14%</v>
      </c>
      <c r="K101" t="s">
        <v>59</v>
      </c>
      <c r="L101" s="66" t="str">
        <f t="shared" ca="1" si="7"/>
        <v>Sin costo</v>
      </c>
      <c r="M101" t="s">
        <v>64</v>
      </c>
      <c r="N101" t="s">
        <v>66</v>
      </c>
      <c r="O101" t="s">
        <v>66</v>
      </c>
      <c r="P101" t="s">
        <v>66</v>
      </c>
      <c r="R101" t="s">
        <v>66</v>
      </c>
      <c r="U101" t="s">
        <v>90</v>
      </c>
      <c r="V101" t="s">
        <v>66</v>
      </c>
      <c r="W101" t="s">
        <v>66</v>
      </c>
      <c r="X101" t="s">
        <v>66</v>
      </c>
      <c r="Y101" t="s">
        <v>66</v>
      </c>
      <c r="Z101" s="99" t="str">
        <f t="shared" ca="1" si="8"/>
        <v/>
      </c>
      <c r="AA101" s="101" t="str">
        <f t="shared" ca="1" si="9"/>
        <v/>
      </c>
    </row>
    <row r="102" spans="2:27" ht="27.6" customHeight="1">
      <c r="B102">
        <f t="shared" ca="1" si="5"/>
        <v>0</v>
      </c>
      <c r="C102" t="s">
        <v>36</v>
      </c>
      <c r="G102" s="75">
        <v>1</v>
      </c>
      <c r="J102" s="66" t="str">
        <f t="shared" ca="1" si="6"/>
        <v>14%</v>
      </c>
      <c r="K102" t="s">
        <v>59</v>
      </c>
      <c r="L102" s="66" t="str">
        <f t="shared" ca="1" si="7"/>
        <v>Sin costo</v>
      </c>
      <c r="M102" t="s">
        <v>64</v>
      </c>
      <c r="N102" t="s">
        <v>66</v>
      </c>
      <c r="O102" t="s">
        <v>66</v>
      </c>
      <c r="P102" t="s">
        <v>66</v>
      </c>
      <c r="R102" t="s">
        <v>66</v>
      </c>
      <c r="U102" t="s">
        <v>90</v>
      </c>
      <c r="V102" t="s">
        <v>66</v>
      </c>
      <c r="W102" t="s">
        <v>66</v>
      </c>
      <c r="X102" t="s">
        <v>66</v>
      </c>
      <c r="Y102" t="s">
        <v>66</v>
      </c>
      <c r="Z102" s="99" t="str">
        <f t="shared" ca="1" si="8"/>
        <v/>
      </c>
      <c r="AA102" s="101" t="str">
        <f t="shared" ca="1" si="9"/>
        <v/>
      </c>
    </row>
    <row r="103" spans="2:27" ht="27.6" customHeight="1">
      <c r="B103">
        <f t="shared" ca="1" si="5"/>
        <v>0</v>
      </c>
      <c r="C103" t="s">
        <v>36</v>
      </c>
      <c r="G103" s="75">
        <v>1</v>
      </c>
      <c r="J103" s="66" t="str">
        <f t="shared" ca="1" si="6"/>
        <v>14%</v>
      </c>
      <c r="K103" t="s">
        <v>59</v>
      </c>
      <c r="L103" s="66" t="str">
        <f t="shared" ca="1" si="7"/>
        <v>Sin costo</v>
      </c>
      <c r="M103" t="s">
        <v>64</v>
      </c>
      <c r="N103" t="s">
        <v>66</v>
      </c>
      <c r="O103" t="s">
        <v>66</v>
      </c>
      <c r="P103" t="s">
        <v>66</v>
      </c>
      <c r="R103" t="s">
        <v>66</v>
      </c>
      <c r="U103" t="s">
        <v>90</v>
      </c>
      <c r="V103" t="s">
        <v>66</v>
      </c>
      <c r="W103" t="s">
        <v>66</v>
      </c>
      <c r="X103" t="s">
        <v>66</v>
      </c>
      <c r="Y103" t="s">
        <v>66</v>
      </c>
      <c r="Z103" s="99" t="str">
        <f t="shared" ca="1" si="8"/>
        <v/>
      </c>
      <c r="AA103" s="101" t="str">
        <f t="shared" ca="1" si="9"/>
        <v/>
      </c>
    </row>
    <row r="104" spans="2:27" ht="27.6" customHeight="1">
      <c r="B104">
        <f t="shared" ca="1" si="5"/>
        <v>0</v>
      </c>
      <c r="C104" t="s">
        <v>36</v>
      </c>
      <c r="G104" s="75">
        <v>1</v>
      </c>
      <c r="J104" s="66" t="str">
        <f t="shared" ca="1" si="6"/>
        <v>14%</v>
      </c>
      <c r="K104" t="s">
        <v>59</v>
      </c>
      <c r="L104" s="66" t="str">
        <f t="shared" ca="1" si="7"/>
        <v>Sin costo</v>
      </c>
      <c r="M104" t="s">
        <v>64</v>
      </c>
      <c r="N104" t="s">
        <v>66</v>
      </c>
      <c r="O104" t="s">
        <v>66</v>
      </c>
      <c r="P104" t="s">
        <v>66</v>
      </c>
      <c r="R104" t="s">
        <v>66</v>
      </c>
      <c r="U104" t="s">
        <v>90</v>
      </c>
      <c r="V104" t="s">
        <v>66</v>
      </c>
      <c r="W104" t="s">
        <v>66</v>
      </c>
      <c r="X104" t="s">
        <v>66</v>
      </c>
      <c r="Y104" t="s">
        <v>66</v>
      </c>
      <c r="Z104" s="99" t="str">
        <f t="shared" ca="1" si="8"/>
        <v/>
      </c>
      <c r="AA104" s="101" t="str">
        <f t="shared" ca="1" si="9"/>
        <v/>
      </c>
    </row>
    <row r="105" spans="2:27" ht="27.6" customHeight="1">
      <c r="B105">
        <f t="shared" ca="1" si="5"/>
        <v>0</v>
      </c>
      <c r="C105" t="s">
        <v>36</v>
      </c>
      <c r="G105" s="75">
        <v>1</v>
      </c>
      <c r="J105" s="66" t="str">
        <f t="shared" ca="1" si="6"/>
        <v>14%</v>
      </c>
      <c r="K105" t="s">
        <v>59</v>
      </c>
      <c r="L105" s="66" t="str">
        <f t="shared" ca="1" si="7"/>
        <v>Sin costo</v>
      </c>
      <c r="M105" t="s">
        <v>64</v>
      </c>
      <c r="N105" t="s">
        <v>66</v>
      </c>
      <c r="O105" t="s">
        <v>66</v>
      </c>
      <c r="P105" t="s">
        <v>66</v>
      </c>
      <c r="R105" t="s">
        <v>66</v>
      </c>
      <c r="U105" t="s">
        <v>90</v>
      </c>
      <c r="V105" t="s">
        <v>66</v>
      </c>
      <c r="W105" t="s">
        <v>66</v>
      </c>
      <c r="X105" t="s">
        <v>66</v>
      </c>
      <c r="Y105" t="s">
        <v>66</v>
      </c>
      <c r="Z105" s="99" t="str">
        <f t="shared" ca="1" si="8"/>
        <v/>
      </c>
      <c r="AA105" s="101" t="str">
        <f t="shared" ca="1" si="9"/>
        <v/>
      </c>
    </row>
    <row r="106" spans="2:27" ht="27.6" customHeight="1">
      <c r="B106">
        <f t="shared" ca="1" si="5"/>
        <v>0</v>
      </c>
      <c r="C106" t="s">
        <v>36</v>
      </c>
      <c r="G106" s="75">
        <v>1</v>
      </c>
      <c r="J106" s="66" t="str">
        <f t="shared" ca="1" si="6"/>
        <v>14%</v>
      </c>
      <c r="K106" t="s">
        <v>59</v>
      </c>
      <c r="L106" s="66" t="str">
        <f t="shared" ca="1" si="7"/>
        <v>Sin costo</v>
      </c>
      <c r="M106" t="s">
        <v>64</v>
      </c>
      <c r="N106" t="s">
        <v>66</v>
      </c>
      <c r="O106" t="s">
        <v>66</v>
      </c>
      <c r="P106" t="s">
        <v>66</v>
      </c>
      <c r="R106" t="s">
        <v>66</v>
      </c>
      <c r="U106" t="s">
        <v>90</v>
      </c>
      <c r="V106" t="s">
        <v>66</v>
      </c>
      <c r="W106" t="s">
        <v>66</v>
      </c>
      <c r="X106" t="s">
        <v>66</v>
      </c>
      <c r="Y106" t="s">
        <v>66</v>
      </c>
      <c r="Z106" s="99" t="str">
        <f t="shared" ca="1" si="8"/>
        <v/>
      </c>
      <c r="AA106" s="101" t="str">
        <f t="shared" ca="1" si="9"/>
        <v/>
      </c>
    </row>
    <row r="107" spans="2:27" ht="27.6" customHeight="1">
      <c r="B107">
        <f t="shared" ca="1" si="5"/>
        <v>0</v>
      </c>
      <c r="C107" t="s">
        <v>36</v>
      </c>
      <c r="G107" s="75">
        <v>1</v>
      </c>
      <c r="J107" s="66" t="str">
        <f t="shared" ca="1" si="6"/>
        <v>14%</v>
      </c>
      <c r="K107" t="s">
        <v>59</v>
      </c>
      <c r="L107" s="66" t="str">
        <f t="shared" ca="1" si="7"/>
        <v>Sin costo</v>
      </c>
      <c r="M107" t="s">
        <v>64</v>
      </c>
      <c r="N107" t="s">
        <v>66</v>
      </c>
      <c r="O107" t="s">
        <v>66</v>
      </c>
      <c r="P107" t="s">
        <v>66</v>
      </c>
      <c r="R107" t="s">
        <v>66</v>
      </c>
      <c r="U107" t="s">
        <v>90</v>
      </c>
      <c r="V107" t="s">
        <v>66</v>
      </c>
      <c r="W107" t="s">
        <v>66</v>
      </c>
      <c r="X107" t="s">
        <v>66</v>
      </c>
      <c r="Y107" t="s">
        <v>66</v>
      </c>
      <c r="Z107" s="99" t="str">
        <f t="shared" ca="1" si="8"/>
        <v/>
      </c>
      <c r="AA107" s="101" t="str">
        <f t="shared" ca="1" si="9"/>
        <v/>
      </c>
    </row>
    <row r="108" spans="2:27" ht="27.6" customHeight="1">
      <c r="B108">
        <f t="shared" ca="1" si="5"/>
        <v>0</v>
      </c>
      <c r="C108" t="s">
        <v>36</v>
      </c>
      <c r="G108" s="75">
        <v>1</v>
      </c>
      <c r="J108" s="66" t="str">
        <f t="shared" ca="1" si="6"/>
        <v>14%</v>
      </c>
      <c r="K108" t="s">
        <v>59</v>
      </c>
      <c r="L108" s="66" t="str">
        <f t="shared" ca="1" si="7"/>
        <v>Sin costo</v>
      </c>
      <c r="M108" t="s">
        <v>64</v>
      </c>
      <c r="N108" t="s">
        <v>66</v>
      </c>
      <c r="O108" t="s">
        <v>66</v>
      </c>
      <c r="P108" t="s">
        <v>66</v>
      </c>
      <c r="R108" t="s">
        <v>66</v>
      </c>
      <c r="U108" t="s">
        <v>90</v>
      </c>
      <c r="V108" t="s">
        <v>66</v>
      </c>
      <c r="W108" t="s">
        <v>66</v>
      </c>
      <c r="X108" t="s">
        <v>66</v>
      </c>
      <c r="Y108" t="s">
        <v>66</v>
      </c>
      <c r="Z108" s="99" t="str">
        <f t="shared" ca="1" si="8"/>
        <v/>
      </c>
      <c r="AA108" s="101" t="str">
        <f t="shared" ca="1" si="9"/>
        <v/>
      </c>
    </row>
    <row r="109" spans="2:27" ht="27.6" customHeight="1">
      <c r="B109">
        <f t="shared" ca="1" si="5"/>
        <v>0</v>
      </c>
      <c r="C109" t="s">
        <v>36</v>
      </c>
      <c r="G109" s="75">
        <v>1</v>
      </c>
      <c r="J109" s="66" t="str">
        <f t="shared" ca="1" si="6"/>
        <v>14%</v>
      </c>
      <c r="K109" t="s">
        <v>59</v>
      </c>
      <c r="L109" s="66" t="str">
        <f t="shared" ca="1" si="7"/>
        <v>Sin costo</v>
      </c>
      <c r="M109" t="s">
        <v>64</v>
      </c>
      <c r="N109" t="s">
        <v>66</v>
      </c>
      <c r="O109" t="s">
        <v>66</v>
      </c>
      <c r="P109" t="s">
        <v>66</v>
      </c>
      <c r="R109" t="s">
        <v>66</v>
      </c>
      <c r="U109" t="s">
        <v>90</v>
      </c>
      <c r="V109" t="s">
        <v>66</v>
      </c>
      <c r="W109" t="s">
        <v>66</v>
      </c>
      <c r="X109" t="s">
        <v>66</v>
      </c>
      <c r="Y109" t="s">
        <v>66</v>
      </c>
      <c r="Z109" s="99" t="str">
        <f t="shared" ca="1" si="8"/>
        <v/>
      </c>
      <c r="AA109" s="101" t="str">
        <f t="shared" ca="1" si="9"/>
        <v/>
      </c>
    </row>
    <row r="110" spans="2:27" ht="27.6" customHeight="1">
      <c r="B110">
        <f t="shared" ca="1" si="5"/>
        <v>0</v>
      </c>
      <c r="C110" t="s">
        <v>36</v>
      </c>
      <c r="G110" s="75">
        <v>1</v>
      </c>
      <c r="J110" s="66" t="str">
        <f t="shared" ca="1" si="6"/>
        <v>14%</v>
      </c>
      <c r="K110" t="s">
        <v>59</v>
      </c>
      <c r="L110" s="66" t="str">
        <f t="shared" ca="1" si="7"/>
        <v>Sin costo</v>
      </c>
      <c r="M110" t="s">
        <v>64</v>
      </c>
      <c r="N110" t="s">
        <v>66</v>
      </c>
      <c r="O110" t="s">
        <v>66</v>
      </c>
      <c r="P110" t="s">
        <v>66</v>
      </c>
      <c r="R110" t="s">
        <v>66</v>
      </c>
      <c r="U110" t="s">
        <v>90</v>
      </c>
      <c r="V110" t="s">
        <v>66</v>
      </c>
      <c r="W110" t="s">
        <v>66</v>
      </c>
      <c r="X110" t="s">
        <v>66</v>
      </c>
      <c r="Y110" t="s">
        <v>66</v>
      </c>
      <c r="Z110" s="99" t="str">
        <f t="shared" ca="1" si="8"/>
        <v/>
      </c>
      <c r="AA110" s="101" t="str">
        <f t="shared" ca="1" si="9"/>
        <v/>
      </c>
    </row>
    <row r="111" spans="2:27" ht="27.6" customHeight="1">
      <c r="B111">
        <f t="shared" ca="1" si="5"/>
        <v>0</v>
      </c>
      <c r="C111" t="s">
        <v>36</v>
      </c>
      <c r="G111" s="75">
        <v>1</v>
      </c>
      <c r="J111" s="66" t="str">
        <f t="shared" ca="1" si="6"/>
        <v>14%</v>
      </c>
      <c r="K111" t="s">
        <v>59</v>
      </c>
      <c r="L111" s="66" t="str">
        <f t="shared" ca="1" si="7"/>
        <v>Sin costo</v>
      </c>
      <c r="M111" t="s">
        <v>64</v>
      </c>
      <c r="N111" t="s">
        <v>66</v>
      </c>
      <c r="O111" t="s">
        <v>66</v>
      </c>
      <c r="P111" t="s">
        <v>66</v>
      </c>
      <c r="R111" t="s">
        <v>66</v>
      </c>
      <c r="U111" t="s">
        <v>90</v>
      </c>
      <c r="V111" t="s">
        <v>66</v>
      </c>
      <c r="W111" t="s">
        <v>66</v>
      </c>
      <c r="X111" t="s">
        <v>66</v>
      </c>
      <c r="Y111" t="s">
        <v>66</v>
      </c>
      <c r="Z111" s="99" t="str">
        <f t="shared" ca="1" si="8"/>
        <v/>
      </c>
      <c r="AA111" s="101" t="str">
        <f t="shared" ca="1" si="9"/>
        <v/>
      </c>
    </row>
    <row r="112" spans="2:27" ht="27.6" customHeight="1">
      <c r="B112">
        <f t="shared" ca="1" si="5"/>
        <v>0</v>
      </c>
      <c r="C112" t="s">
        <v>36</v>
      </c>
      <c r="G112" s="75">
        <v>1</v>
      </c>
      <c r="J112" s="66" t="str">
        <f t="shared" ca="1" si="6"/>
        <v>14%</v>
      </c>
      <c r="K112" t="s">
        <v>59</v>
      </c>
      <c r="L112" s="66" t="str">
        <f t="shared" ca="1" si="7"/>
        <v>Sin costo</v>
      </c>
      <c r="M112" t="s">
        <v>64</v>
      </c>
      <c r="N112" t="s">
        <v>66</v>
      </c>
      <c r="O112" t="s">
        <v>66</v>
      </c>
      <c r="P112" t="s">
        <v>66</v>
      </c>
      <c r="R112" t="s">
        <v>66</v>
      </c>
      <c r="U112" t="s">
        <v>90</v>
      </c>
      <c r="V112" t="s">
        <v>66</v>
      </c>
      <c r="W112" t="s">
        <v>66</v>
      </c>
      <c r="X112" t="s">
        <v>66</v>
      </c>
      <c r="Y112" t="s">
        <v>66</v>
      </c>
      <c r="Z112" s="99" t="str">
        <f t="shared" ca="1" si="8"/>
        <v/>
      </c>
      <c r="AA112" s="101" t="str">
        <f t="shared" ca="1" si="9"/>
        <v/>
      </c>
    </row>
    <row r="113" spans="2:27" ht="27.6" customHeight="1">
      <c r="B113">
        <f t="shared" ca="1" si="5"/>
        <v>0</v>
      </c>
      <c r="C113" t="s">
        <v>36</v>
      </c>
      <c r="G113" s="75">
        <v>1</v>
      </c>
      <c r="J113" s="66" t="str">
        <f t="shared" ca="1" si="6"/>
        <v>14%</v>
      </c>
      <c r="K113" t="s">
        <v>59</v>
      </c>
      <c r="L113" s="66" t="str">
        <f t="shared" ca="1" si="7"/>
        <v>Sin costo</v>
      </c>
      <c r="M113" t="s">
        <v>64</v>
      </c>
      <c r="N113" t="s">
        <v>66</v>
      </c>
      <c r="O113" t="s">
        <v>66</v>
      </c>
      <c r="P113" t="s">
        <v>66</v>
      </c>
      <c r="R113" t="s">
        <v>66</v>
      </c>
      <c r="U113" t="s">
        <v>90</v>
      </c>
      <c r="V113" t="s">
        <v>66</v>
      </c>
      <c r="W113" t="s">
        <v>66</v>
      </c>
      <c r="X113" t="s">
        <v>66</v>
      </c>
      <c r="Y113" t="s">
        <v>66</v>
      </c>
      <c r="Z113" s="99" t="str">
        <f t="shared" ca="1" si="8"/>
        <v/>
      </c>
      <c r="AA113" s="101" t="str">
        <f t="shared" ca="1" si="9"/>
        <v/>
      </c>
    </row>
    <row r="114" spans="2:27" ht="27.6" customHeight="1">
      <c r="B114">
        <f t="shared" ca="1" si="5"/>
        <v>0</v>
      </c>
      <c r="C114" t="s">
        <v>36</v>
      </c>
      <c r="G114" s="75">
        <v>1</v>
      </c>
      <c r="J114" s="66" t="str">
        <f t="shared" ca="1" si="6"/>
        <v>14%</v>
      </c>
      <c r="K114" t="s">
        <v>59</v>
      </c>
      <c r="L114" s="66" t="str">
        <f t="shared" ca="1" si="7"/>
        <v>Sin costo</v>
      </c>
      <c r="M114" t="s">
        <v>64</v>
      </c>
      <c r="N114" t="s">
        <v>66</v>
      </c>
      <c r="O114" t="s">
        <v>66</v>
      </c>
      <c r="P114" t="s">
        <v>66</v>
      </c>
      <c r="R114" t="s">
        <v>66</v>
      </c>
      <c r="U114" t="s">
        <v>90</v>
      </c>
      <c r="V114" t="s">
        <v>66</v>
      </c>
      <c r="W114" t="s">
        <v>66</v>
      </c>
      <c r="X114" t="s">
        <v>66</v>
      </c>
      <c r="Y114" t="s">
        <v>66</v>
      </c>
      <c r="Z114" s="99" t="str">
        <f t="shared" ca="1" si="8"/>
        <v/>
      </c>
      <c r="AA114" s="101" t="str">
        <f t="shared" ca="1" si="9"/>
        <v/>
      </c>
    </row>
    <row r="115" spans="2:27" ht="27.6" customHeight="1">
      <c r="B115">
        <f t="shared" ca="1" si="5"/>
        <v>0</v>
      </c>
      <c r="C115" t="s">
        <v>36</v>
      </c>
      <c r="G115" s="75">
        <v>1</v>
      </c>
      <c r="J115" s="66" t="str">
        <f t="shared" ca="1" si="6"/>
        <v>14%</v>
      </c>
      <c r="K115" t="s">
        <v>59</v>
      </c>
      <c r="L115" s="66" t="str">
        <f t="shared" ca="1" si="7"/>
        <v>Sin costo</v>
      </c>
      <c r="M115" t="s">
        <v>64</v>
      </c>
      <c r="N115" t="s">
        <v>66</v>
      </c>
      <c r="O115" t="s">
        <v>66</v>
      </c>
      <c r="P115" t="s">
        <v>66</v>
      </c>
      <c r="R115" t="s">
        <v>66</v>
      </c>
      <c r="U115" t="s">
        <v>90</v>
      </c>
      <c r="V115" t="s">
        <v>66</v>
      </c>
      <c r="W115" t="s">
        <v>66</v>
      </c>
      <c r="X115" t="s">
        <v>66</v>
      </c>
      <c r="Y115" t="s">
        <v>66</v>
      </c>
      <c r="Z115" s="99" t="str">
        <f t="shared" ca="1" si="8"/>
        <v/>
      </c>
      <c r="AA115" s="101" t="str">
        <f t="shared" ca="1" si="9"/>
        <v/>
      </c>
    </row>
    <row r="116" spans="2:27" ht="27.6" customHeight="1">
      <c r="B116">
        <f t="shared" ca="1" si="5"/>
        <v>0</v>
      </c>
      <c r="C116" t="s">
        <v>36</v>
      </c>
      <c r="G116" s="75">
        <v>1</v>
      </c>
      <c r="J116" s="66" t="str">
        <f t="shared" ca="1" si="6"/>
        <v>14%</v>
      </c>
      <c r="K116" t="s">
        <v>59</v>
      </c>
      <c r="L116" s="66" t="str">
        <f t="shared" ca="1" si="7"/>
        <v>Sin costo</v>
      </c>
      <c r="M116" t="s">
        <v>64</v>
      </c>
      <c r="N116" t="s">
        <v>66</v>
      </c>
      <c r="O116" t="s">
        <v>66</v>
      </c>
      <c r="P116" t="s">
        <v>66</v>
      </c>
      <c r="R116" t="s">
        <v>66</v>
      </c>
      <c r="U116" t="s">
        <v>90</v>
      </c>
      <c r="V116" t="s">
        <v>66</v>
      </c>
      <c r="W116" t="s">
        <v>66</v>
      </c>
      <c r="X116" t="s">
        <v>66</v>
      </c>
      <c r="Y116" t="s">
        <v>66</v>
      </c>
      <c r="Z116" s="99" t="str">
        <f t="shared" ca="1" si="8"/>
        <v/>
      </c>
      <c r="AA116" s="101" t="str">
        <f t="shared" ca="1" si="9"/>
        <v/>
      </c>
    </row>
    <row r="117" spans="2:27" ht="27.6" customHeight="1">
      <c r="B117">
        <f t="shared" ca="1" si="5"/>
        <v>0</v>
      </c>
      <c r="C117" t="s">
        <v>36</v>
      </c>
      <c r="G117" s="75">
        <v>1</v>
      </c>
      <c r="J117" s="66" t="str">
        <f t="shared" ca="1" si="6"/>
        <v>14%</v>
      </c>
      <c r="K117" t="s">
        <v>59</v>
      </c>
      <c r="L117" s="66" t="str">
        <f t="shared" ca="1" si="7"/>
        <v>Sin costo</v>
      </c>
      <c r="M117" t="s">
        <v>64</v>
      </c>
      <c r="N117" t="s">
        <v>66</v>
      </c>
      <c r="O117" t="s">
        <v>66</v>
      </c>
      <c r="P117" t="s">
        <v>66</v>
      </c>
      <c r="R117" t="s">
        <v>66</v>
      </c>
      <c r="U117" t="s">
        <v>90</v>
      </c>
      <c r="V117" t="s">
        <v>66</v>
      </c>
      <c r="W117" t="s">
        <v>66</v>
      </c>
      <c r="X117" t="s">
        <v>66</v>
      </c>
      <c r="Y117" t="s">
        <v>66</v>
      </c>
      <c r="Z117" s="99" t="str">
        <f t="shared" ca="1" si="8"/>
        <v/>
      </c>
      <c r="AA117" s="101" t="str">
        <f t="shared" ca="1" si="9"/>
        <v/>
      </c>
    </row>
    <row r="118" spans="2:27" ht="27.6" customHeight="1">
      <c r="B118">
        <f t="shared" ca="1" si="5"/>
        <v>0</v>
      </c>
      <c r="C118" t="s">
        <v>36</v>
      </c>
      <c r="G118" s="75">
        <v>1</v>
      </c>
      <c r="J118" s="66" t="str">
        <f t="shared" ca="1" si="6"/>
        <v>14%</v>
      </c>
      <c r="K118" t="s">
        <v>59</v>
      </c>
      <c r="L118" s="66" t="str">
        <f t="shared" ca="1" si="7"/>
        <v>Sin costo</v>
      </c>
      <c r="M118" t="s">
        <v>64</v>
      </c>
      <c r="N118" t="s">
        <v>66</v>
      </c>
      <c r="O118" t="s">
        <v>66</v>
      </c>
      <c r="P118" t="s">
        <v>66</v>
      </c>
      <c r="R118" t="s">
        <v>66</v>
      </c>
      <c r="U118" t="s">
        <v>90</v>
      </c>
      <c r="V118" t="s">
        <v>66</v>
      </c>
      <c r="W118" t="s">
        <v>66</v>
      </c>
      <c r="X118" t="s">
        <v>66</v>
      </c>
      <c r="Y118" t="s">
        <v>66</v>
      </c>
      <c r="Z118" s="99" t="str">
        <f t="shared" ca="1" si="8"/>
        <v/>
      </c>
      <c r="AA118" s="101" t="str">
        <f t="shared" ca="1" si="9"/>
        <v/>
      </c>
    </row>
    <row r="119" spans="2:27" ht="27.6" customHeight="1">
      <c r="B119">
        <f t="shared" ca="1" si="5"/>
        <v>0</v>
      </c>
      <c r="C119" t="s">
        <v>36</v>
      </c>
      <c r="G119" s="75">
        <v>1</v>
      </c>
      <c r="J119" s="66" t="str">
        <f t="shared" ca="1" si="6"/>
        <v>14%</v>
      </c>
      <c r="K119" t="s">
        <v>59</v>
      </c>
      <c r="L119" s="66" t="str">
        <f t="shared" ca="1" si="7"/>
        <v>Sin costo</v>
      </c>
      <c r="M119" t="s">
        <v>64</v>
      </c>
      <c r="N119" t="s">
        <v>66</v>
      </c>
      <c r="O119" t="s">
        <v>66</v>
      </c>
      <c r="P119" t="s">
        <v>66</v>
      </c>
      <c r="R119" t="s">
        <v>66</v>
      </c>
      <c r="U119" t="s">
        <v>90</v>
      </c>
      <c r="V119" t="s">
        <v>66</v>
      </c>
      <c r="W119" t="s">
        <v>66</v>
      </c>
      <c r="X119" t="s">
        <v>66</v>
      </c>
      <c r="Y119" t="s">
        <v>66</v>
      </c>
      <c r="Z119" s="99" t="str">
        <f t="shared" ca="1" si="8"/>
        <v/>
      </c>
      <c r="AA119" s="101" t="str">
        <f t="shared" ca="1" si="9"/>
        <v/>
      </c>
    </row>
    <row r="120" spans="2:27" ht="27.6" customHeight="1">
      <c r="B120">
        <f t="shared" ca="1" si="5"/>
        <v>0</v>
      </c>
      <c r="C120" t="s">
        <v>36</v>
      </c>
      <c r="G120" s="75">
        <v>1</v>
      </c>
      <c r="J120" s="66" t="str">
        <f t="shared" ca="1" si="6"/>
        <v>14%</v>
      </c>
      <c r="K120" t="s">
        <v>59</v>
      </c>
      <c r="L120" s="66" t="str">
        <f t="shared" ca="1" si="7"/>
        <v>Sin costo</v>
      </c>
      <c r="M120" t="s">
        <v>64</v>
      </c>
      <c r="N120" t="s">
        <v>66</v>
      </c>
      <c r="O120" t="s">
        <v>66</v>
      </c>
      <c r="P120" t="s">
        <v>66</v>
      </c>
      <c r="R120" t="s">
        <v>66</v>
      </c>
      <c r="U120" t="s">
        <v>90</v>
      </c>
      <c r="V120" t="s">
        <v>66</v>
      </c>
      <c r="W120" t="s">
        <v>66</v>
      </c>
      <c r="X120" t="s">
        <v>66</v>
      </c>
      <c r="Y120" t="s">
        <v>66</v>
      </c>
      <c r="Z120" s="99" t="str">
        <f t="shared" ca="1" si="8"/>
        <v/>
      </c>
      <c r="AA120" s="101" t="str">
        <f t="shared" ca="1" si="9"/>
        <v/>
      </c>
    </row>
    <row r="121" spans="2:27" ht="27.6" customHeight="1">
      <c r="B121">
        <f t="shared" ca="1" si="5"/>
        <v>0</v>
      </c>
      <c r="C121" t="s">
        <v>36</v>
      </c>
      <c r="G121" s="75">
        <v>1</v>
      </c>
      <c r="J121" s="66" t="str">
        <f t="shared" ca="1" si="6"/>
        <v>14%</v>
      </c>
      <c r="K121" t="s">
        <v>59</v>
      </c>
      <c r="L121" s="66" t="str">
        <f t="shared" ca="1" si="7"/>
        <v>Sin costo</v>
      </c>
      <c r="M121" t="s">
        <v>64</v>
      </c>
      <c r="N121" t="s">
        <v>66</v>
      </c>
      <c r="O121" t="s">
        <v>66</v>
      </c>
      <c r="P121" t="s">
        <v>66</v>
      </c>
      <c r="R121" t="s">
        <v>66</v>
      </c>
      <c r="U121" t="s">
        <v>90</v>
      </c>
      <c r="V121" t="s">
        <v>66</v>
      </c>
      <c r="W121" t="s">
        <v>66</v>
      </c>
      <c r="X121" t="s">
        <v>66</v>
      </c>
      <c r="Y121" t="s">
        <v>66</v>
      </c>
      <c r="Z121" s="99" t="str">
        <f t="shared" ca="1" si="8"/>
        <v/>
      </c>
      <c r="AA121" s="101" t="str">
        <f t="shared" ca="1" si="9"/>
        <v/>
      </c>
    </row>
    <row r="122" spans="2:27" ht="27.6" customHeight="1">
      <c r="B122">
        <f t="shared" ca="1" si="5"/>
        <v>0</v>
      </c>
      <c r="C122" t="s">
        <v>36</v>
      </c>
      <c r="G122" s="75">
        <v>1</v>
      </c>
      <c r="J122" s="66" t="str">
        <f t="shared" ca="1" si="6"/>
        <v>14%</v>
      </c>
      <c r="K122" t="s">
        <v>59</v>
      </c>
      <c r="L122" s="66" t="str">
        <f t="shared" ca="1" si="7"/>
        <v>Sin costo</v>
      </c>
      <c r="M122" t="s">
        <v>64</v>
      </c>
      <c r="N122" t="s">
        <v>66</v>
      </c>
      <c r="O122" t="s">
        <v>66</v>
      </c>
      <c r="P122" t="s">
        <v>66</v>
      </c>
      <c r="R122" t="s">
        <v>66</v>
      </c>
      <c r="U122" t="s">
        <v>90</v>
      </c>
      <c r="V122" t="s">
        <v>66</v>
      </c>
      <c r="W122" t="s">
        <v>66</v>
      </c>
      <c r="X122" t="s">
        <v>66</v>
      </c>
      <c r="Y122" t="s">
        <v>66</v>
      </c>
      <c r="Z122" s="99" t="str">
        <f t="shared" ca="1" si="8"/>
        <v/>
      </c>
      <c r="AA122" s="101" t="str">
        <f t="shared" ca="1" si="9"/>
        <v/>
      </c>
    </row>
    <row r="123" spans="2:27" ht="27.6" customHeight="1">
      <c r="B123">
        <f t="shared" ca="1" si="5"/>
        <v>0</v>
      </c>
      <c r="C123" t="s">
        <v>36</v>
      </c>
      <c r="G123" s="75">
        <v>1</v>
      </c>
      <c r="J123" s="66" t="str">
        <f t="shared" ca="1" si="6"/>
        <v>14%</v>
      </c>
      <c r="K123" t="s">
        <v>59</v>
      </c>
      <c r="L123" s="66" t="str">
        <f t="shared" ca="1" si="7"/>
        <v>Sin costo</v>
      </c>
      <c r="M123" t="s">
        <v>64</v>
      </c>
      <c r="N123" t="s">
        <v>66</v>
      </c>
      <c r="O123" t="s">
        <v>66</v>
      </c>
      <c r="P123" t="s">
        <v>66</v>
      </c>
      <c r="R123" t="s">
        <v>66</v>
      </c>
      <c r="U123" t="s">
        <v>90</v>
      </c>
      <c r="V123" t="s">
        <v>66</v>
      </c>
      <c r="W123" t="s">
        <v>66</v>
      </c>
      <c r="X123" t="s">
        <v>66</v>
      </c>
      <c r="Y123" t="s">
        <v>66</v>
      </c>
      <c r="Z123" s="99" t="str">
        <f t="shared" ca="1" si="8"/>
        <v/>
      </c>
      <c r="AA123" s="101" t="str">
        <f t="shared" ca="1" si="9"/>
        <v/>
      </c>
    </row>
    <row r="124" spans="2:27" ht="27.6" customHeight="1">
      <c r="B124">
        <f t="shared" ca="1" si="5"/>
        <v>0</v>
      </c>
      <c r="C124" t="s">
        <v>36</v>
      </c>
      <c r="G124" s="75">
        <v>1</v>
      </c>
      <c r="J124" s="66" t="str">
        <f t="shared" ca="1" si="6"/>
        <v>14%</v>
      </c>
      <c r="K124" t="s">
        <v>59</v>
      </c>
      <c r="L124" s="66" t="str">
        <f t="shared" ca="1" si="7"/>
        <v>Sin costo</v>
      </c>
      <c r="M124" t="s">
        <v>64</v>
      </c>
      <c r="N124" t="s">
        <v>66</v>
      </c>
      <c r="O124" t="s">
        <v>66</v>
      </c>
      <c r="P124" t="s">
        <v>66</v>
      </c>
      <c r="R124" t="s">
        <v>66</v>
      </c>
      <c r="U124" t="s">
        <v>90</v>
      </c>
      <c r="V124" t="s">
        <v>66</v>
      </c>
      <c r="W124" t="s">
        <v>66</v>
      </c>
      <c r="X124" t="s">
        <v>66</v>
      </c>
      <c r="Y124" t="s">
        <v>66</v>
      </c>
      <c r="Z124" s="99" t="str">
        <f t="shared" ca="1" si="8"/>
        <v/>
      </c>
      <c r="AA124" s="101" t="str">
        <f t="shared" ca="1" si="9"/>
        <v/>
      </c>
    </row>
    <row r="125" spans="2:27" ht="27.6" customHeight="1">
      <c r="B125">
        <f t="shared" ca="1" si="5"/>
        <v>0</v>
      </c>
      <c r="C125" t="s">
        <v>36</v>
      </c>
      <c r="G125" s="75">
        <v>1</v>
      </c>
      <c r="J125" s="66" t="str">
        <f t="shared" ca="1" si="6"/>
        <v>14%</v>
      </c>
      <c r="K125" t="s">
        <v>59</v>
      </c>
      <c r="L125" s="66" t="str">
        <f t="shared" ca="1" si="7"/>
        <v>Sin costo</v>
      </c>
      <c r="M125" t="s">
        <v>64</v>
      </c>
      <c r="N125" t="s">
        <v>66</v>
      </c>
      <c r="O125" t="s">
        <v>66</v>
      </c>
      <c r="P125" t="s">
        <v>66</v>
      </c>
      <c r="R125" t="s">
        <v>66</v>
      </c>
      <c r="U125" t="s">
        <v>90</v>
      </c>
      <c r="V125" t="s">
        <v>66</v>
      </c>
      <c r="W125" t="s">
        <v>66</v>
      </c>
      <c r="X125" t="s">
        <v>66</v>
      </c>
      <c r="Y125" t="s">
        <v>66</v>
      </c>
      <c r="Z125" s="99" t="str">
        <f t="shared" ca="1" si="8"/>
        <v/>
      </c>
      <c r="AA125" s="101" t="str">
        <f t="shared" ca="1" si="9"/>
        <v/>
      </c>
    </row>
    <row r="126" spans="2:27" ht="27.6" customHeight="1">
      <c r="B126">
        <f t="shared" ca="1" si="5"/>
        <v>0</v>
      </c>
      <c r="C126" t="s">
        <v>36</v>
      </c>
      <c r="G126" s="75">
        <v>1</v>
      </c>
      <c r="J126" s="66" t="str">
        <f t="shared" ca="1" si="6"/>
        <v>14%</v>
      </c>
      <c r="K126" t="s">
        <v>59</v>
      </c>
      <c r="L126" s="66" t="str">
        <f t="shared" ca="1" si="7"/>
        <v>Sin costo</v>
      </c>
      <c r="M126" t="s">
        <v>64</v>
      </c>
      <c r="N126" t="s">
        <v>66</v>
      </c>
      <c r="O126" t="s">
        <v>66</v>
      </c>
      <c r="P126" t="s">
        <v>66</v>
      </c>
      <c r="R126" t="s">
        <v>66</v>
      </c>
      <c r="U126" t="s">
        <v>90</v>
      </c>
      <c r="V126" t="s">
        <v>66</v>
      </c>
      <c r="W126" t="s">
        <v>66</v>
      </c>
      <c r="X126" t="s">
        <v>66</v>
      </c>
      <c r="Y126" t="s">
        <v>66</v>
      </c>
      <c r="Z126" s="99" t="str">
        <f t="shared" ca="1" si="8"/>
        <v/>
      </c>
      <c r="AA126" s="101" t="str">
        <f t="shared" ca="1" si="9"/>
        <v/>
      </c>
    </row>
    <row r="127" spans="2:27" ht="27.6" customHeight="1">
      <c r="B127">
        <f t="shared" ca="1" si="5"/>
        <v>0</v>
      </c>
      <c r="C127" t="s">
        <v>36</v>
      </c>
      <c r="G127" s="75">
        <v>1</v>
      </c>
      <c r="J127" s="66" t="str">
        <f t="shared" ca="1" si="6"/>
        <v>14%</v>
      </c>
      <c r="K127" t="s">
        <v>59</v>
      </c>
      <c r="L127" s="66" t="str">
        <f t="shared" ca="1" si="7"/>
        <v>Sin costo</v>
      </c>
      <c r="M127" t="s">
        <v>64</v>
      </c>
      <c r="N127" t="s">
        <v>66</v>
      </c>
      <c r="O127" t="s">
        <v>66</v>
      </c>
      <c r="P127" t="s">
        <v>66</v>
      </c>
      <c r="R127" t="s">
        <v>66</v>
      </c>
      <c r="U127" t="s">
        <v>90</v>
      </c>
      <c r="V127" t="s">
        <v>66</v>
      </c>
      <c r="W127" t="s">
        <v>66</v>
      </c>
      <c r="X127" t="s">
        <v>66</v>
      </c>
      <c r="Y127" t="s">
        <v>66</v>
      </c>
      <c r="Z127" s="99" t="str">
        <f t="shared" ca="1" si="8"/>
        <v/>
      </c>
      <c r="AA127" s="101" t="str">
        <f t="shared" ca="1" si="9"/>
        <v/>
      </c>
    </row>
    <row r="128" spans="2:27" ht="27.6" customHeight="1">
      <c r="B128">
        <f t="shared" ca="1" si="5"/>
        <v>0</v>
      </c>
      <c r="C128" t="s">
        <v>36</v>
      </c>
      <c r="G128" s="75">
        <v>1</v>
      </c>
      <c r="J128" s="66" t="str">
        <f t="shared" ca="1" si="6"/>
        <v>14%</v>
      </c>
      <c r="K128" t="s">
        <v>59</v>
      </c>
      <c r="L128" s="66" t="str">
        <f t="shared" ca="1" si="7"/>
        <v>Sin costo</v>
      </c>
      <c r="M128" t="s">
        <v>64</v>
      </c>
      <c r="N128" t="s">
        <v>66</v>
      </c>
      <c r="O128" t="s">
        <v>66</v>
      </c>
      <c r="P128" t="s">
        <v>66</v>
      </c>
      <c r="R128" t="s">
        <v>66</v>
      </c>
      <c r="U128" t="s">
        <v>90</v>
      </c>
      <c r="V128" t="s">
        <v>66</v>
      </c>
      <c r="W128" t="s">
        <v>66</v>
      </c>
      <c r="X128" t="s">
        <v>66</v>
      </c>
      <c r="Y128" t="s">
        <v>66</v>
      </c>
      <c r="Z128" s="99" t="str">
        <f t="shared" ca="1" si="8"/>
        <v/>
      </c>
      <c r="AA128" s="101" t="str">
        <f t="shared" ca="1" si="9"/>
        <v/>
      </c>
    </row>
    <row r="129" spans="2:27" ht="27.6" customHeight="1">
      <c r="B129">
        <f t="shared" ca="1" si="5"/>
        <v>0</v>
      </c>
      <c r="C129" t="s">
        <v>36</v>
      </c>
      <c r="G129" s="75">
        <v>1</v>
      </c>
      <c r="J129" s="66" t="str">
        <f t="shared" ca="1" si="6"/>
        <v>14%</v>
      </c>
      <c r="K129" t="s">
        <v>59</v>
      </c>
      <c r="L129" s="66" t="str">
        <f t="shared" ca="1" si="7"/>
        <v>Sin costo</v>
      </c>
      <c r="M129" t="s">
        <v>64</v>
      </c>
      <c r="N129" t="s">
        <v>66</v>
      </c>
      <c r="O129" t="s">
        <v>66</v>
      </c>
      <c r="P129" t="s">
        <v>66</v>
      </c>
      <c r="R129" t="s">
        <v>66</v>
      </c>
      <c r="U129" t="s">
        <v>90</v>
      </c>
      <c r="V129" t="s">
        <v>66</v>
      </c>
      <c r="W129" t="s">
        <v>66</v>
      </c>
      <c r="X129" t="s">
        <v>66</v>
      </c>
      <c r="Y129" t="s">
        <v>66</v>
      </c>
      <c r="Z129" s="99" t="str">
        <f t="shared" ca="1" si="8"/>
        <v/>
      </c>
      <c r="AA129" s="101" t="str">
        <f t="shared" ca="1" si="9"/>
        <v/>
      </c>
    </row>
    <row r="130" spans="2:27" ht="27.6" customHeight="1">
      <c r="B130">
        <f t="shared" ca="1" si="5"/>
        <v>0</v>
      </c>
      <c r="C130" t="s">
        <v>36</v>
      </c>
      <c r="G130" s="75">
        <v>1</v>
      </c>
      <c r="J130" s="66" t="str">
        <f t="shared" ca="1" si="6"/>
        <v>14%</v>
      </c>
      <c r="K130" t="s">
        <v>59</v>
      </c>
      <c r="L130" s="66" t="str">
        <f t="shared" ca="1" si="7"/>
        <v>Sin costo</v>
      </c>
      <c r="M130" t="s">
        <v>64</v>
      </c>
      <c r="N130" t="s">
        <v>66</v>
      </c>
      <c r="O130" t="s">
        <v>66</v>
      </c>
      <c r="P130" t="s">
        <v>66</v>
      </c>
      <c r="R130" t="s">
        <v>66</v>
      </c>
      <c r="U130" t="s">
        <v>90</v>
      </c>
      <c r="V130" t="s">
        <v>66</v>
      </c>
      <c r="W130" t="s">
        <v>66</v>
      </c>
      <c r="X130" t="s">
        <v>66</v>
      </c>
      <c r="Y130" t="s">
        <v>66</v>
      </c>
      <c r="Z130" s="99" t="str">
        <f t="shared" ca="1" si="8"/>
        <v/>
      </c>
      <c r="AA130" s="101" t="str">
        <f t="shared" ca="1" si="9"/>
        <v/>
      </c>
    </row>
    <row r="131" spans="2:27" ht="27.6" customHeight="1">
      <c r="B131">
        <f t="shared" ca="1" si="5"/>
        <v>0</v>
      </c>
      <c r="C131" t="s">
        <v>36</v>
      </c>
      <c r="G131" s="75">
        <v>1</v>
      </c>
      <c r="J131" s="66" t="str">
        <f t="shared" ca="1" si="6"/>
        <v>14%</v>
      </c>
      <c r="K131" t="s">
        <v>59</v>
      </c>
      <c r="L131" s="66" t="str">
        <f t="shared" ca="1" si="7"/>
        <v>Sin costo</v>
      </c>
      <c r="M131" t="s">
        <v>64</v>
      </c>
      <c r="N131" t="s">
        <v>66</v>
      </c>
      <c r="O131" t="s">
        <v>66</v>
      </c>
      <c r="P131" t="s">
        <v>66</v>
      </c>
      <c r="R131" t="s">
        <v>66</v>
      </c>
      <c r="U131" t="s">
        <v>90</v>
      </c>
      <c r="V131" t="s">
        <v>66</v>
      </c>
      <c r="W131" t="s">
        <v>66</v>
      </c>
      <c r="X131" t="s">
        <v>66</v>
      </c>
      <c r="Y131" t="s">
        <v>66</v>
      </c>
      <c r="Z131" s="99" t="str">
        <f t="shared" ca="1" si="8"/>
        <v/>
      </c>
      <c r="AA131" s="101" t="str">
        <f t="shared" ca="1" si="9"/>
        <v/>
      </c>
    </row>
    <row r="132" spans="2:27" ht="27.6" customHeight="1">
      <c r="B132">
        <f t="shared" ca="1" si="5"/>
        <v>0</v>
      </c>
      <c r="C132" t="s">
        <v>36</v>
      </c>
      <c r="G132" s="75">
        <v>1</v>
      </c>
      <c r="J132" s="66" t="str">
        <f t="shared" ca="1" si="6"/>
        <v>14%</v>
      </c>
      <c r="K132" t="s">
        <v>59</v>
      </c>
      <c r="L132" s="66" t="str">
        <f t="shared" ca="1" si="7"/>
        <v>Sin costo</v>
      </c>
      <c r="M132" t="s">
        <v>64</v>
      </c>
      <c r="N132" t="s">
        <v>66</v>
      </c>
      <c r="O132" t="s">
        <v>66</v>
      </c>
      <c r="P132" t="s">
        <v>66</v>
      </c>
      <c r="R132" t="s">
        <v>66</v>
      </c>
      <c r="U132" t="s">
        <v>90</v>
      </c>
      <c r="V132" t="s">
        <v>66</v>
      </c>
      <c r="W132" t="s">
        <v>66</v>
      </c>
      <c r="X132" t="s">
        <v>66</v>
      </c>
      <c r="Y132" t="s">
        <v>66</v>
      </c>
      <c r="Z132" s="99" t="str">
        <f t="shared" ca="1" si="8"/>
        <v/>
      </c>
      <c r="AA132" s="101" t="str">
        <f t="shared" ca="1" si="9"/>
        <v/>
      </c>
    </row>
    <row r="133" spans="2:27" ht="27.6" customHeight="1">
      <c r="B133">
        <f t="shared" ca="1" si="5"/>
        <v>0</v>
      </c>
      <c r="C133" t="s">
        <v>36</v>
      </c>
      <c r="G133" s="75">
        <v>1</v>
      </c>
      <c r="J133" s="66" t="str">
        <f t="shared" ca="1" si="6"/>
        <v>14%</v>
      </c>
      <c r="K133" t="s">
        <v>59</v>
      </c>
      <c r="L133" s="66" t="str">
        <f t="shared" ca="1" si="7"/>
        <v>Sin costo</v>
      </c>
      <c r="M133" t="s">
        <v>64</v>
      </c>
      <c r="N133" t="s">
        <v>66</v>
      </c>
      <c r="O133" t="s">
        <v>66</v>
      </c>
      <c r="P133" t="s">
        <v>66</v>
      </c>
      <c r="R133" t="s">
        <v>66</v>
      </c>
      <c r="U133" t="s">
        <v>90</v>
      </c>
      <c r="V133" t="s">
        <v>66</v>
      </c>
      <c r="W133" t="s">
        <v>66</v>
      </c>
      <c r="X133" t="s">
        <v>66</v>
      </c>
      <c r="Y133" t="s">
        <v>66</v>
      </c>
      <c r="Z133" s="99" t="str">
        <f t="shared" ca="1" si="8"/>
        <v/>
      </c>
      <c r="AA133" s="101" t="str">
        <f t="shared" ca="1" si="9"/>
        <v/>
      </c>
    </row>
    <row r="134" spans="2:27" ht="27.6" customHeight="1">
      <c r="B134">
        <f t="shared" ca="1" si="5"/>
        <v>0</v>
      </c>
      <c r="C134" t="s">
        <v>36</v>
      </c>
      <c r="G134" s="75">
        <v>1</v>
      </c>
      <c r="J134" s="66" t="str">
        <f t="shared" ca="1" si="6"/>
        <v>14%</v>
      </c>
      <c r="K134" t="s">
        <v>59</v>
      </c>
      <c r="L134" s="66" t="str">
        <f t="shared" ca="1" si="7"/>
        <v>Sin costo</v>
      </c>
      <c r="M134" t="s">
        <v>64</v>
      </c>
      <c r="N134" t="s">
        <v>66</v>
      </c>
      <c r="O134" t="s">
        <v>66</v>
      </c>
      <c r="P134" t="s">
        <v>66</v>
      </c>
      <c r="R134" t="s">
        <v>66</v>
      </c>
      <c r="U134" t="s">
        <v>90</v>
      </c>
      <c r="V134" t="s">
        <v>66</v>
      </c>
      <c r="W134" t="s">
        <v>66</v>
      </c>
      <c r="X134" t="s">
        <v>66</v>
      </c>
      <c r="Y134" t="s">
        <v>66</v>
      </c>
      <c r="Z134" s="99" t="str">
        <f t="shared" ca="1" si="8"/>
        <v/>
      </c>
      <c r="AA134" s="101" t="str">
        <f t="shared" ca="1" si="9"/>
        <v/>
      </c>
    </row>
    <row r="135" spans="2:27" ht="27.6" customHeight="1">
      <c r="B135">
        <f t="shared" ref="B135:B198" ca="1" si="10">LEN(INDIRECT(ADDRESS(ROW() + (0),COLUMN() + (-1))))</f>
        <v>0</v>
      </c>
      <c r="C135" t="s">
        <v>36</v>
      </c>
      <c r="G135" s="75">
        <v>1</v>
      </c>
      <c r="J135" s="66" t="str">
        <f t="shared" ref="J135:J198" ca="1" si="11">IF(INDIRECT(ADDRESS(ROW() + (0),COLUMN() + (1)))="Agregar cuotas", IF(("14%")="", "-", "14%"), IF(INDIRECT(ADDRESS(ROW() + (0),COLUMN() + (1)))="No agregar cuotas", IF(("14%")="", "-", "14%"), "-"))</f>
        <v>14%</v>
      </c>
      <c r="K135" t="s">
        <v>59</v>
      </c>
      <c r="L135" s="66" t="str">
        <f t="shared" ref="L135:L198" ca="1" si="12">IF(INDIRECT(ADDRESS(ROW() + (0),COLUMN() + (-1)))="Agregar cuotas", IF(("13.9%")="", "Sin costo", "13.9%"), IF(INDIRECT(ADDRESS(ROW() + (0),COLUMN() + (-1)))="No agregar cuotas", IF(("")="", "Sin costo", ""), "-"))</f>
        <v>Sin costo</v>
      </c>
      <c r="M135" t="s">
        <v>64</v>
      </c>
      <c r="N135" t="s">
        <v>66</v>
      </c>
      <c r="O135" t="s">
        <v>66</v>
      </c>
      <c r="P135" t="s">
        <v>66</v>
      </c>
      <c r="R135" t="s">
        <v>66</v>
      </c>
      <c r="U135" t="s">
        <v>90</v>
      </c>
      <c r="V135" t="s">
        <v>66</v>
      </c>
      <c r="W135" t="s">
        <v>66</v>
      </c>
      <c r="X135" t="s">
        <v>66</v>
      </c>
      <c r="Y135" t="s">
        <v>66</v>
      </c>
      <c r="Z135" s="99" t="str">
        <f t="shared" ref="Z135:Z198" ca="1" si="1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135" s="101" t="str">
        <f t="shared" ref="AA135:AA198" ca="1" si="14">IF(TRIM(INDIRECT("A"&amp;ROW())) &lt;&gt; "",FALSE,"")</f>
        <v/>
      </c>
    </row>
    <row r="136" spans="2:27" ht="27.6" customHeight="1">
      <c r="B136">
        <f t="shared" ca="1" si="10"/>
        <v>0</v>
      </c>
      <c r="C136" t="s">
        <v>36</v>
      </c>
      <c r="G136" s="75">
        <v>1</v>
      </c>
      <c r="J136" s="66" t="str">
        <f t="shared" ca="1" si="11"/>
        <v>14%</v>
      </c>
      <c r="K136" t="s">
        <v>59</v>
      </c>
      <c r="L136" s="66" t="str">
        <f t="shared" ca="1" si="12"/>
        <v>Sin costo</v>
      </c>
      <c r="M136" t="s">
        <v>64</v>
      </c>
      <c r="N136" t="s">
        <v>66</v>
      </c>
      <c r="O136" t="s">
        <v>66</v>
      </c>
      <c r="P136" t="s">
        <v>66</v>
      </c>
      <c r="R136" t="s">
        <v>66</v>
      </c>
      <c r="U136" t="s">
        <v>90</v>
      </c>
      <c r="V136" t="s">
        <v>66</v>
      </c>
      <c r="W136" t="s">
        <v>66</v>
      </c>
      <c r="X136" t="s">
        <v>66</v>
      </c>
      <c r="Y136" t="s">
        <v>66</v>
      </c>
      <c r="Z136" s="99" t="str">
        <f t="shared" ca="1" si="13"/>
        <v/>
      </c>
      <c r="AA136" s="101" t="str">
        <f t="shared" ca="1" si="14"/>
        <v/>
      </c>
    </row>
    <row r="137" spans="2:27" ht="27.6" customHeight="1">
      <c r="B137">
        <f t="shared" ca="1" si="10"/>
        <v>0</v>
      </c>
      <c r="C137" t="s">
        <v>36</v>
      </c>
      <c r="G137" s="75">
        <v>1</v>
      </c>
      <c r="J137" s="66" t="str">
        <f t="shared" ca="1" si="11"/>
        <v>14%</v>
      </c>
      <c r="K137" t="s">
        <v>59</v>
      </c>
      <c r="L137" s="66" t="str">
        <f t="shared" ca="1" si="12"/>
        <v>Sin costo</v>
      </c>
      <c r="M137" t="s">
        <v>64</v>
      </c>
      <c r="N137" t="s">
        <v>66</v>
      </c>
      <c r="O137" t="s">
        <v>66</v>
      </c>
      <c r="P137" t="s">
        <v>66</v>
      </c>
      <c r="R137" t="s">
        <v>66</v>
      </c>
      <c r="U137" t="s">
        <v>90</v>
      </c>
      <c r="V137" t="s">
        <v>66</v>
      </c>
      <c r="W137" t="s">
        <v>66</v>
      </c>
      <c r="X137" t="s">
        <v>66</v>
      </c>
      <c r="Y137" t="s">
        <v>66</v>
      </c>
      <c r="Z137" s="99" t="str">
        <f t="shared" ca="1" si="13"/>
        <v/>
      </c>
      <c r="AA137" s="101" t="str">
        <f t="shared" ca="1" si="14"/>
        <v/>
      </c>
    </row>
    <row r="138" spans="2:27" ht="27.6" customHeight="1">
      <c r="B138">
        <f t="shared" ca="1" si="10"/>
        <v>0</v>
      </c>
      <c r="C138" t="s">
        <v>36</v>
      </c>
      <c r="G138" s="75">
        <v>1</v>
      </c>
      <c r="J138" s="66" t="str">
        <f t="shared" ca="1" si="11"/>
        <v>14%</v>
      </c>
      <c r="K138" t="s">
        <v>59</v>
      </c>
      <c r="L138" s="66" t="str">
        <f t="shared" ca="1" si="12"/>
        <v>Sin costo</v>
      </c>
      <c r="M138" t="s">
        <v>64</v>
      </c>
      <c r="N138" t="s">
        <v>66</v>
      </c>
      <c r="O138" t="s">
        <v>66</v>
      </c>
      <c r="P138" t="s">
        <v>66</v>
      </c>
      <c r="R138" t="s">
        <v>66</v>
      </c>
      <c r="U138" t="s">
        <v>90</v>
      </c>
      <c r="V138" t="s">
        <v>66</v>
      </c>
      <c r="W138" t="s">
        <v>66</v>
      </c>
      <c r="X138" t="s">
        <v>66</v>
      </c>
      <c r="Y138" t="s">
        <v>66</v>
      </c>
      <c r="Z138" s="99" t="str">
        <f t="shared" ca="1" si="13"/>
        <v/>
      </c>
      <c r="AA138" s="101" t="str">
        <f t="shared" ca="1" si="14"/>
        <v/>
      </c>
    </row>
    <row r="139" spans="2:27" ht="27.6" customHeight="1">
      <c r="B139">
        <f t="shared" ca="1" si="10"/>
        <v>0</v>
      </c>
      <c r="C139" t="s">
        <v>36</v>
      </c>
      <c r="G139" s="75">
        <v>1</v>
      </c>
      <c r="J139" s="66" t="str">
        <f t="shared" ca="1" si="11"/>
        <v>14%</v>
      </c>
      <c r="K139" t="s">
        <v>59</v>
      </c>
      <c r="L139" s="66" t="str">
        <f t="shared" ca="1" si="12"/>
        <v>Sin costo</v>
      </c>
      <c r="M139" t="s">
        <v>64</v>
      </c>
      <c r="N139" t="s">
        <v>66</v>
      </c>
      <c r="O139" t="s">
        <v>66</v>
      </c>
      <c r="P139" t="s">
        <v>66</v>
      </c>
      <c r="R139" t="s">
        <v>66</v>
      </c>
      <c r="U139" t="s">
        <v>90</v>
      </c>
      <c r="V139" t="s">
        <v>66</v>
      </c>
      <c r="W139" t="s">
        <v>66</v>
      </c>
      <c r="X139" t="s">
        <v>66</v>
      </c>
      <c r="Y139" t="s">
        <v>66</v>
      </c>
      <c r="Z139" s="99" t="str">
        <f t="shared" ca="1" si="13"/>
        <v/>
      </c>
      <c r="AA139" s="101" t="str">
        <f t="shared" ca="1" si="14"/>
        <v/>
      </c>
    </row>
    <row r="140" spans="2:27" ht="27.6" customHeight="1">
      <c r="B140">
        <f t="shared" ca="1" si="10"/>
        <v>0</v>
      </c>
      <c r="C140" t="s">
        <v>36</v>
      </c>
      <c r="G140" s="75">
        <v>1</v>
      </c>
      <c r="J140" s="66" t="str">
        <f t="shared" ca="1" si="11"/>
        <v>14%</v>
      </c>
      <c r="K140" t="s">
        <v>59</v>
      </c>
      <c r="L140" s="66" t="str">
        <f t="shared" ca="1" si="12"/>
        <v>Sin costo</v>
      </c>
      <c r="M140" t="s">
        <v>64</v>
      </c>
      <c r="N140" t="s">
        <v>66</v>
      </c>
      <c r="O140" t="s">
        <v>66</v>
      </c>
      <c r="P140" t="s">
        <v>66</v>
      </c>
      <c r="R140" t="s">
        <v>66</v>
      </c>
      <c r="U140" t="s">
        <v>90</v>
      </c>
      <c r="V140" t="s">
        <v>66</v>
      </c>
      <c r="W140" t="s">
        <v>66</v>
      </c>
      <c r="X140" t="s">
        <v>66</v>
      </c>
      <c r="Y140" t="s">
        <v>66</v>
      </c>
      <c r="Z140" s="99" t="str">
        <f t="shared" ca="1" si="13"/>
        <v/>
      </c>
      <c r="AA140" s="101" t="str">
        <f t="shared" ca="1" si="14"/>
        <v/>
      </c>
    </row>
    <row r="141" spans="2:27" ht="27.6" customHeight="1">
      <c r="B141">
        <f t="shared" ca="1" si="10"/>
        <v>0</v>
      </c>
      <c r="C141" t="s">
        <v>36</v>
      </c>
      <c r="G141" s="75">
        <v>1</v>
      </c>
      <c r="J141" s="66" t="str">
        <f t="shared" ca="1" si="11"/>
        <v>14%</v>
      </c>
      <c r="K141" t="s">
        <v>59</v>
      </c>
      <c r="L141" s="66" t="str">
        <f t="shared" ca="1" si="12"/>
        <v>Sin costo</v>
      </c>
      <c r="M141" t="s">
        <v>64</v>
      </c>
      <c r="N141" t="s">
        <v>66</v>
      </c>
      <c r="O141" t="s">
        <v>66</v>
      </c>
      <c r="P141" t="s">
        <v>66</v>
      </c>
      <c r="R141" t="s">
        <v>66</v>
      </c>
      <c r="U141" t="s">
        <v>90</v>
      </c>
      <c r="V141" t="s">
        <v>66</v>
      </c>
      <c r="W141" t="s">
        <v>66</v>
      </c>
      <c r="X141" t="s">
        <v>66</v>
      </c>
      <c r="Y141" t="s">
        <v>66</v>
      </c>
      <c r="Z141" s="99" t="str">
        <f t="shared" ca="1" si="13"/>
        <v/>
      </c>
      <c r="AA141" s="101" t="str">
        <f t="shared" ca="1" si="14"/>
        <v/>
      </c>
    </row>
    <row r="142" spans="2:27" ht="27.6" customHeight="1">
      <c r="B142">
        <f t="shared" ca="1" si="10"/>
        <v>0</v>
      </c>
      <c r="C142" t="s">
        <v>36</v>
      </c>
      <c r="G142" s="75">
        <v>1</v>
      </c>
      <c r="J142" s="66" t="str">
        <f t="shared" ca="1" si="11"/>
        <v>14%</v>
      </c>
      <c r="K142" t="s">
        <v>59</v>
      </c>
      <c r="L142" s="66" t="str">
        <f t="shared" ca="1" si="12"/>
        <v>Sin costo</v>
      </c>
      <c r="M142" t="s">
        <v>64</v>
      </c>
      <c r="N142" t="s">
        <v>66</v>
      </c>
      <c r="O142" t="s">
        <v>66</v>
      </c>
      <c r="P142" t="s">
        <v>66</v>
      </c>
      <c r="R142" t="s">
        <v>66</v>
      </c>
      <c r="U142" t="s">
        <v>90</v>
      </c>
      <c r="V142" t="s">
        <v>66</v>
      </c>
      <c r="W142" t="s">
        <v>66</v>
      </c>
      <c r="X142" t="s">
        <v>66</v>
      </c>
      <c r="Y142" t="s">
        <v>66</v>
      </c>
      <c r="Z142" s="99" t="str">
        <f t="shared" ca="1" si="13"/>
        <v/>
      </c>
      <c r="AA142" s="101" t="str">
        <f t="shared" ca="1" si="14"/>
        <v/>
      </c>
    </row>
    <row r="143" spans="2:27" ht="27.6" customHeight="1">
      <c r="B143">
        <f t="shared" ca="1" si="10"/>
        <v>0</v>
      </c>
      <c r="C143" t="s">
        <v>36</v>
      </c>
      <c r="G143" s="75">
        <v>1</v>
      </c>
      <c r="J143" s="66" t="str">
        <f t="shared" ca="1" si="11"/>
        <v>14%</v>
      </c>
      <c r="K143" t="s">
        <v>59</v>
      </c>
      <c r="L143" s="66" t="str">
        <f t="shared" ca="1" si="12"/>
        <v>Sin costo</v>
      </c>
      <c r="M143" t="s">
        <v>64</v>
      </c>
      <c r="N143" t="s">
        <v>66</v>
      </c>
      <c r="O143" t="s">
        <v>66</v>
      </c>
      <c r="P143" t="s">
        <v>66</v>
      </c>
      <c r="R143" t="s">
        <v>66</v>
      </c>
      <c r="U143" t="s">
        <v>90</v>
      </c>
      <c r="V143" t="s">
        <v>66</v>
      </c>
      <c r="W143" t="s">
        <v>66</v>
      </c>
      <c r="X143" t="s">
        <v>66</v>
      </c>
      <c r="Y143" t="s">
        <v>66</v>
      </c>
      <c r="Z143" s="99" t="str">
        <f t="shared" ca="1" si="13"/>
        <v/>
      </c>
      <c r="AA143" s="101" t="str">
        <f t="shared" ca="1" si="14"/>
        <v/>
      </c>
    </row>
    <row r="144" spans="2:27" ht="27.6" customHeight="1">
      <c r="B144">
        <f t="shared" ca="1" si="10"/>
        <v>0</v>
      </c>
      <c r="C144" t="s">
        <v>36</v>
      </c>
      <c r="G144" s="75">
        <v>1</v>
      </c>
      <c r="J144" s="66" t="str">
        <f t="shared" ca="1" si="11"/>
        <v>14%</v>
      </c>
      <c r="K144" t="s">
        <v>59</v>
      </c>
      <c r="L144" s="66" t="str">
        <f t="shared" ca="1" si="12"/>
        <v>Sin costo</v>
      </c>
      <c r="M144" t="s">
        <v>64</v>
      </c>
      <c r="N144" t="s">
        <v>66</v>
      </c>
      <c r="O144" t="s">
        <v>66</v>
      </c>
      <c r="P144" t="s">
        <v>66</v>
      </c>
      <c r="R144" t="s">
        <v>66</v>
      </c>
      <c r="U144" t="s">
        <v>90</v>
      </c>
      <c r="V144" t="s">
        <v>66</v>
      </c>
      <c r="W144" t="s">
        <v>66</v>
      </c>
      <c r="X144" t="s">
        <v>66</v>
      </c>
      <c r="Y144" t="s">
        <v>66</v>
      </c>
      <c r="Z144" s="99" t="str">
        <f t="shared" ca="1" si="13"/>
        <v/>
      </c>
      <c r="AA144" s="101" t="str">
        <f t="shared" ca="1" si="14"/>
        <v/>
      </c>
    </row>
    <row r="145" spans="2:27" ht="27.6" customHeight="1">
      <c r="B145">
        <f t="shared" ca="1" si="10"/>
        <v>0</v>
      </c>
      <c r="C145" t="s">
        <v>36</v>
      </c>
      <c r="G145" s="75">
        <v>1</v>
      </c>
      <c r="J145" s="66" t="str">
        <f t="shared" ca="1" si="11"/>
        <v>14%</v>
      </c>
      <c r="K145" t="s">
        <v>59</v>
      </c>
      <c r="L145" s="66" t="str">
        <f t="shared" ca="1" si="12"/>
        <v>Sin costo</v>
      </c>
      <c r="M145" t="s">
        <v>64</v>
      </c>
      <c r="N145" t="s">
        <v>66</v>
      </c>
      <c r="O145" t="s">
        <v>66</v>
      </c>
      <c r="P145" t="s">
        <v>66</v>
      </c>
      <c r="R145" t="s">
        <v>66</v>
      </c>
      <c r="U145" t="s">
        <v>90</v>
      </c>
      <c r="V145" t="s">
        <v>66</v>
      </c>
      <c r="W145" t="s">
        <v>66</v>
      </c>
      <c r="X145" t="s">
        <v>66</v>
      </c>
      <c r="Y145" t="s">
        <v>66</v>
      </c>
      <c r="Z145" s="99" t="str">
        <f t="shared" ca="1" si="13"/>
        <v/>
      </c>
      <c r="AA145" s="101" t="str">
        <f t="shared" ca="1" si="14"/>
        <v/>
      </c>
    </row>
    <row r="146" spans="2:27" ht="27.6" customHeight="1">
      <c r="B146">
        <f t="shared" ca="1" si="10"/>
        <v>0</v>
      </c>
      <c r="C146" t="s">
        <v>36</v>
      </c>
      <c r="G146" s="75">
        <v>1</v>
      </c>
      <c r="J146" s="66" t="str">
        <f t="shared" ca="1" si="11"/>
        <v>14%</v>
      </c>
      <c r="K146" t="s">
        <v>59</v>
      </c>
      <c r="L146" s="66" t="str">
        <f t="shared" ca="1" si="12"/>
        <v>Sin costo</v>
      </c>
      <c r="M146" t="s">
        <v>64</v>
      </c>
      <c r="N146" t="s">
        <v>66</v>
      </c>
      <c r="O146" t="s">
        <v>66</v>
      </c>
      <c r="P146" t="s">
        <v>66</v>
      </c>
      <c r="R146" t="s">
        <v>66</v>
      </c>
      <c r="U146" t="s">
        <v>90</v>
      </c>
      <c r="V146" t="s">
        <v>66</v>
      </c>
      <c r="W146" t="s">
        <v>66</v>
      </c>
      <c r="X146" t="s">
        <v>66</v>
      </c>
      <c r="Y146" t="s">
        <v>66</v>
      </c>
      <c r="Z146" s="99" t="str">
        <f t="shared" ca="1" si="13"/>
        <v/>
      </c>
      <c r="AA146" s="101" t="str">
        <f t="shared" ca="1" si="14"/>
        <v/>
      </c>
    </row>
    <row r="147" spans="2:27" ht="27.6" customHeight="1">
      <c r="B147">
        <f t="shared" ca="1" si="10"/>
        <v>0</v>
      </c>
      <c r="C147" t="s">
        <v>36</v>
      </c>
      <c r="G147" s="75">
        <v>1</v>
      </c>
      <c r="J147" s="66" t="str">
        <f t="shared" ca="1" si="11"/>
        <v>14%</v>
      </c>
      <c r="K147" t="s">
        <v>59</v>
      </c>
      <c r="L147" s="66" t="str">
        <f t="shared" ca="1" si="12"/>
        <v>Sin costo</v>
      </c>
      <c r="M147" t="s">
        <v>64</v>
      </c>
      <c r="N147" t="s">
        <v>66</v>
      </c>
      <c r="O147" t="s">
        <v>66</v>
      </c>
      <c r="P147" t="s">
        <v>66</v>
      </c>
      <c r="R147" t="s">
        <v>66</v>
      </c>
      <c r="U147" t="s">
        <v>90</v>
      </c>
      <c r="V147" t="s">
        <v>66</v>
      </c>
      <c r="W147" t="s">
        <v>66</v>
      </c>
      <c r="X147" t="s">
        <v>66</v>
      </c>
      <c r="Y147" t="s">
        <v>66</v>
      </c>
      <c r="Z147" s="99" t="str">
        <f t="shared" ca="1" si="13"/>
        <v/>
      </c>
      <c r="AA147" s="101" t="str">
        <f t="shared" ca="1" si="14"/>
        <v/>
      </c>
    </row>
    <row r="148" spans="2:27" ht="27.6" customHeight="1">
      <c r="B148">
        <f t="shared" ca="1" si="10"/>
        <v>0</v>
      </c>
      <c r="C148" t="s">
        <v>36</v>
      </c>
      <c r="G148" s="75">
        <v>1</v>
      </c>
      <c r="J148" s="66" t="str">
        <f t="shared" ca="1" si="11"/>
        <v>14%</v>
      </c>
      <c r="K148" t="s">
        <v>59</v>
      </c>
      <c r="L148" s="66" t="str">
        <f t="shared" ca="1" si="12"/>
        <v>Sin costo</v>
      </c>
      <c r="M148" t="s">
        <v>64</v>
      </c>
      <c r="N148" t="s">
        <v>66</v>
      </c>
      <c r="O148" t="s">
        <v>66</v>
      </c>
      <c r="P148" t="s">
        <v>66</v>
      </c>
      <c r="R148" t="s">
        <v>66</v>
      </c>
      <c r="U148" t="s">
        <v>90</v>
      </c>
      <c r="V148" t="s">
        <v>66</v>
      </c>
      <c r="W148" t="s">
        <v>66</v>
      </c>
      <c r="X148" t="s">
        <v>66</v>
      </c>
      <c r="Y148" t="s">
        <v>66</v>
      </c>
      <c r="Z148" s="99" t="str">
        <f t="shared" ca="1" si="13"/>
        <v/>
      </c>
      <c r="AA148" s="101" t="str">
        <f t="shared" ca="1" si="14"/>
        <v/>
      </c>
    </row>
    <row r="149" spans="2:27" ht="27.6" customHeight="1">
      <c r="B149">
        <f t="shared" ca="1" si="10"/>
        <v>0</v>
      </c>
      <c r="C149" t="s">
        <v>36</v>
      </c>
      <c r="G149" s="75">
        <v>1</v>
      </c>
      <c r="J149" s="66" t="str">
        <f t="shared" ca="1" si="11"/>
        <v>14%</v>
      </c>
      <c r="K149" t="s">
        <v>59</v>
      </c>
      <c r="L149" s="66" t="str">
        <f t="shared" ca="1" si="12"/>
        <v>Sin costo</v>
      </c>
      <c r="M149" t="s">
        <v>64</v>
      </c>
      <c r="N149" t="s">
        <v>66</v>
      </c>
      <c r="O149" t="s">
        <v>66</v>
      </c>
      <c r="P149" t="s">
        <v>66</v>
      </c>
      <c r="R149" t="s">
        <v>66</v>
      </c>
      <c r="U149" t="s">
        <v>90</v>
      </c>
      <c r="V149" t="s">
        <v>66</v>
      </c>
      <c r="W149" t="s">
        <v>66</v>
      </c>
      <c r="X149" t="s">
        <v>66</v>
      </c>
      <c r="Y149" t="s">
        <v>66</v>
      </c>
      <c r="Z149" s="99" t="str">
        <f t="shared" ca="1" si="13"/>
        <v/>
      </c>
      <c r="AA149" s="101" t="str">
        <f t="shared" ca="1" si="14"/>
        <v/>
      </c>
    </row>
    <row r="150" spans="2:27" ht="27.6" customHeight="1">
      <c r="B150">
        <f t="shared" ca="1" si="10"/>
        <v>0</v>
      </c>
      <c r="C150" t="s">
        <v>36</v>
      </c>
      <c r="G150" s="75">
        <v>1</v>
      </c>
      <c r="J150" s="66" t="str">
        <f t="shared" ca="1" si="11"/>
        <v>14%</v>
      </c>
      <c r="K150" t="s">
        <v>59</v>
      </c>
      <c r="L150" s="66" t="str">
        <f t="shared" ca="1" si="12"/>
        <v>Sin costo</v>
      </c>
      <c r="M150" t="s">
        <v>64</v>
      </c>
      <c r="N150" t="s">
        <v>66</v>
      </c>
      <c r="O150" t="s">
        <v>66</v>
      </c>
      <c r="P150" t="s">
        <v>66</v>
      </c>
      <c r="R150" t="s">
        <v>66</v>
      </c>
      <c r="U150" t="s">
        <v>90</v>
      </c>
      <c r="V150" t="s">
        <v>66</v>
      </c>
      <c r="W150" t="s">
        <v>66</v>
      </c>
      <c r="X150" t="s">
        <v>66</v>
      </c>
      <c r="Y150" t="s">
        <v>66</v>
      </c>
      <c r="Z150" s="99" t="str">
        <f t="shared" ca="1" si="13"/>
        <v/>
      </c>
      <c r="AA150" s="101" t="str">
        <f t="shared" ca="1" si="14"/>
        <v/>
      </c>
    </row>
    <row r="151" spans="2:27" ht="27.6" customHeight="1">
      <c r="B151">
        <f t="shared" ca="1" si="10"/>
        <v>0</v>
      </c>
      <c r="C151" t="s">
        <v>36</v>
      </c>
      <c r="G151" s="75">
        <v>1</v>
      </c>
      <c r="J151" s="66" t="str">
        <f t="shared" ca="1" si="11"/>
        <v>14%</v>
      </c>
      <c r="K151" t="s">
        <v>59</v>
      </c>
      <c r="L151" s="66" t="str">
        <f t="shared" ca="1" si="12"/>
        <v>Sin costo</v>
      </c>
      <c r="M151" t="s">
        <v>64</v>
      </c>
      <c r="N151" t="s">
        <v>66</v>
      </c>
      <c r="O151" t="s">
        <v>66</v>
      </c>
      <c r="P151" t="s">
        <v>66</v>
      </c>
      <c r="R151" t="s">
        <v>66</v>
      </c>
      <c r="U151" t="s">
        <v>90</v>
      </c>
      <c r="V151" t="s">
        <v>66</v>
      </c>
      <c r="W151" t="s">
        <v>66</v>
      </c>
      <c r="X151" t="s">
        <v>66</v>
      </c>
      <c r="Y151" t="s">
        <v>66</v>
      </c>
      <c r="Z151" s="99" t="str">
        <f t="shared" ca="1" si="13"/>
        <v/>
      </c>
      <c r="AA151" s="101" t="str">
        <f t="shared" ca="1" si="14"/>
        <v/>
      </c>
    </row>
    <row r="152" spans="2:27" ht="27.6" customHeight="1">
      <c r="B152">
        <f t="shared" ca="1" si="10"/>
        <v>0</v>
      </c>
      <c r="C152" t="s">
        <v>36</v>
      </c>
      <c r="G152" s="75">
        <v>1</v>
      </c>
      <c r="J152" s="66" t="str">
        <f t="shared" ca="1" si="11"/>
        <v>14%</v>
      </c>
      <c r="K152" t="s">
        <v>59</v>
      </c>
      <c r="L152" s="66" t="str">
        <f t="shared" ca="1" si="12"/>
        <v>Sin costo</v>
      </c>
      <c r="M152" t="s">
        <v>64</v>
      </c>
      <c r="N152" t="s">
        <v>66</v>
      </c>
      <c r="O152" t="s">
        <v>66</v>
      </c>
      <c r="P152" t="s">
        <v>66</v>
      </c>
      <c r="R152" t="s">
        <v>66</v>
      </c>
      <c r="U152" t="s">
        <v>90</v>
      </c>
      <c r="V152" t="s">
        <v>66</v>
      </c>
      <c r="W152" t="s">
        <v>66</v>
      </c>
      <c r="X152" t="s">
        <v>66</v>
      </c>
      <c r="Y152" t="s">
        <v>66</v>
      </c>
      <c r="Z152" s="99" t="str">
        <f t="shared" ca="1" si="13"/>
        <v/>
      </c>
      <c r="AA152" s="101" t="str">
        <f t="shared" ca="1" si="14"/>
        <v/>
      </c>
    </row>
    <row r="153" spans="2:27" ht="27.6" customHeight="1">
      <c r="B153">
        <f t="shared" ca="1" si="10"/>
        <v>0</v>
      </c>
      <c r="C153" t="s">
        <v>36</v>
      </c>
      <c r="G153" s="75">
        <v>1</v>
      </c>
      <c r="J153" s="66" t="str">
        <f t="shared" ca="1" si="11"/>
        <v>14%</v>
      </c>
      <c r="K153" t="s">
        <v>59</v>
      </c>
      <c r="L153" s="66" t="str">
        <f t="shared" ca="1" si="12"/>
        <v>Sin costo</v>
      </c>
      <c r="M153" t="s">
        <v>64</v>
      </c>
      <c r="N153" t="s">
        <v>66</v>
      </c>
      <c r="O153" t="s">
        <v>66</v>
      </c>
      <c r="P153" t="s">
        <v>66</v>
      </c>
      <c r="R153" t="s">
        <v>66</v>
      </c>
      <c r="U153" t="s">
        <v>90</v>
      </c>
      <c r="V153" t="s">
        <v>66</v>
      </c>
      <c r="W153" t="s">
        <v>66</v>
      </c>
      <c r="X153" t="s">
        <v>66</v>
      </c>
      <c r="Y153" t="s">
        <v>66</v>
      </c>
      <c r="Z153" s="99" t="str">
        <f t="shared" ca="1" si="13"/>
        <v/>
      </c>
      <c r="AA153" s="101" t="str">
        <f t="shared" ca="1" si="14"/>
        <v/>
      </c>
    </row>
    <row r="154" spans="2:27" ht="27.6" customHeight="1">
      <c r="B154">
        <f t="shared" ca="1" si="10"/>
        <v>0</v>
      </c>
      <c r="C154" t="s">
        <v>36</v>
      </c>
      <c r="G154" s="75">
        <v>1</v>
      </c>
      <c r="J154" s="66" t="str">
        <f t="shared" ca="1" si="11"/>
        <v>14%</v>
      </c>
      <c r="K154" t="s">
        <v>59</v>
      </c>
      <c r="L154" s="66" t="str">
        <f t="shared" ca="1" si="12"/>
        <v>Sin costo</v>
      </c>
      <c r="M154" t="s">
        <v>64</v>
      </c>
      <c r="N154" t="s">
        <v>66</v>
      </c>
      <c r="O154" t="s">
        <v>66</v>
      </c>
      <c r="P154" t="s">
        <v>66</v>
      </c>
      <c r="R154" t="s">
        <v>66</v>
      </c>
      <c r="U154" t="s">
        <v>90</v>
      </c>
      <c r="V154" t="s">
        <v>66</v>
      </c>
      <c r="W154" t="s">
        <v>66</v>
      </c>
      <c r="X154" t="s">
        <v>66</v>
      </c>
      <c r="Y154" t="s">
        <v>66</v>
      </c>
      <c r="Z154" s="99" t="str">
        <f t="shared" ca="1" si="13"/>
        <v/>
      </c>
      <c r="AA154" s="101" t="str">
        <f t="shared" ca="1" si="14"/>
        <v/>
      </c>
    </row>
    <row r="155" spans="2:27" ht="27.6" customHeight="1">
      <c r="B155">
        <f t="shared" ca="1" si="10"/>
        <v>0</v>
      </c>
      <c r="C155" t="s">
        <v>36</v>
      </c>
      <c r="G155" s="75">
        <v>1</v>
      </c>
      <c r="J155" s="66" t="str">
        <f t="shared" ca="1" si="11"/>
        <v>14%</v>
      </c>
      <c r="K155" t="s">
        <v>59</v>
      </c>
      <c r="L155" s="66" t="str">
        <f t="shared" ca="1" si="12"/>
        <v>Sin costo</v>
      </c>
      <c r="M155" t="s">
        <v>64</v>
      </c>
      <c r="N155" t="s">
        <v>66</v>
      </c>
      <c r="O155" t="s">
        <v>66</v>
      </c>
      <c r="P155" t="s">
        <v>66</v>
      </c>
      <c r="R155" t="s">
        <v>66</v>
      </c>
      <c r="U155" t="s">
        <v>90</v>
      </c>
      <c r="V155" t="s">
        <v>66</v>
      </c>
      <c r="W155" t="s">
        <v>66</v>
      </c>
      <c r="X155" t="s">
        <v>66</v>
      </c>
      <c r="Y155" t="s">
        <v>66</v>
      </c>
      <c r="Z155" s="99" t="str">
        <f t="shared" ca="1" si="13"/>
        <v/>
      </c>
      <c r="AA155" s="101" t="str">
        <f t="shared" ca="1" si="14"/>
        <v/>
      </c>
    </row>
    <row r="156" spans="2:27" ht="27.6" customHeight="1">
      <c r="B156">
        <f t="shared" ca="1" si="10"/>
        <v>0</v>
      </c>
      <c r="C156" t="s">
        <v>36</v>
      </c>
      <c r="G156" s="75">
        <v>1</v>
      </c>
      <c r="J156" s="66" t="str">
        <f t="shared" ca="1" si="11"/>
        <v>14%</v>
      </c>
      <c r="K156" t="s">
        <v>59</v>
      </c>
      <c r="L156" s="66" t="str">
        <f t="shared" ca="1" si="12"/>
        <v>Sin costo</v>
      </c>
      <c r="M156" t="s">
        <v>64</v>
      </c>
      <c r="N156" t="s">
        <v>66</v>
      </c>
      <c r="O156" t="s">
        <v>66</v>
      </c>
      <c r="P156" t="s">
        <v>66</v>
      </c>
      <c r="R156" t="s">
        <v>66</v>
      </c>
      <c r="U156" t="s">
        <v>90</v>
      </c>
      <c r="V156" t="s">
        <v>66</v>
      </c>
      <c r="W156" t="s">
        <v>66</v>
      </c>
      <c r="X156" t="s">
        <v>66</v>
      </c>
      <c r="Y156" t="s">
        <v>66</v>
      </c>
      <c r="Z156" s="99" t="str">
        <f t="shared" ca="1" si="13"/>
        <v/>
      </c>
      <c r="AA156" s="101" t="str">
        <f t="shared" ca="1" si="14"/>
        <v/>
      </c>
    </row>
    <row r="157" spans="2:27" ht="27.6" customHeight="1">
      <c r="B157">
        <f t="shared" ca="1" si="10"/>
        <v>0</v>
      </c>
      <c r="C157" t="s">
        <v>36</v>
      </c>
      <c r="G157" s="75">
        <v>1</v>
      </c>
      <c r="J157" s="66" t="str">
        <f t="shared" ca="1" si="11"/>
        <v>14%</v>
      </c>
      <c r="K157" t="s">
        <v>59</v>
      </c>
      <c r="L157" s="66" t="str">
        <f t="shared" ca="1" si="12"/>
        <v>Sin costo</v>
      </c>
      <c r="M157" t="s">
        <v>64</v>
      </c>
      <c r="N157" t="s">
        <v>66</v>
      </c>
      <c r="O157" t="s">
        <v>66</v>
      </c>
      <c r="P157" t="s">
        <v>66</v>
      </c>
      <c r="R157" t="s">
        <v>66</v>
      </c>
      <c r="U157" t="s">
        <v>90</v>
      </c>
      <c r="V157" t="s">
        <v>66</v>
      </c>
      <c r="W157" t="s">
        <v>66</v>
      </c>
      <c r="X157" t="s">
        <v>66</v>
      </c>
      <c r="Y157" t="s">
        <v>66</v>
      </c>
      <c r="Z157" s="99" t="str">
        <f t="shared" ca="1" si="13"/>
        <v/>
      </c>
      <c r="AA157" s="101" t="str">
        <f t="shared" ca="1" si="14"/>
        <v/>
      </c>
    </row>
    <row r="158" spans="2:27" ht="27.6" customHeight="1">
      <c r="B158">
        <f t="shared" ca="1" si="10"/>
        <v>0</v>
      </c>
      <c r="C158" t="s">
        <v>36</v>
      </c>
      <c r="G158" s="75">
        <v>1</v>
      </c>
      <c r="J158" s="66" t="str">
        <f t="shared" ca="1" si="11"/>
        <v>14%</v>
      </c>
      <c r="K158" t="s">
        <v>59</v>
      </c>
      <c r="L158" s="66" t="str">
        <f t="shared" ca="1" si="12"/>
        <v>Sin costo</v>
      </c>
      <c r="M158" t="s">
        <v>64</v>
      </c>
      <c r="N158" t="s">
        <v>66</v>
      </c>
      <c r="O158" t="s">
        <v>66</v>
      </c>
      <c r="P158" t="s">
        <v>66</v>
      </c>
      <c r="R158" t="s">
        <v>66</v>
      </c>
      <c r="U158" t="s">
        <v>90</v>
      </c>
      <c r="V158" t="s">
        <v>66</v>
      </c>
      <c r="W158" t="s">
        <v>66</v>
      </c>
      <c r="X158" t="s">
        <v>66</v>
      </c>
      <c r="Y158" t="s">
        <v>66</v>
      </c>
      <c r="Z158" s="99" t="str">
        <f t="shared" ca="1" si="13"/>
        <v/>
      </c>
      <c r="AA158" s="101" t="str">
        <f t="shared" ca="1" si="14"/>
        <v/>
      </c>
    </row>
    <row r="159" spans="2:27" ht="27.6" customHeight="1">
      <c r="B159">
        <f t="shared" ca="1" si="10"/>
        <v>0</v>
      </c>
      <c r="C159" t="s">
        <v>36</v>
      </c>
      <c r="G159" s="75">
        <v>1</v>
      </c>
      <c r="J159" s="66" t="str">
        <f t="shared" ca="1" si="11"/>
        <v>14%</v>
      </c>
      <c r="K159" t="s">
        <v>59</v>
      </c>
      <c r="L159" s="66" t="str">
        <f t="shared" ca="1" si="12"/>
        <v>Sin costo</v>
      </c>
      <c r="M159" t="s">
        <v>64</v>
      </c>
      <c r="N159" t="s">
        <v>66</v>
      </c>
      <c r="O159" t="s">
        <v>66</v>
      </c>
      <c r="P159" t="s">
        <v>66</v>
      </c>
      <c r="R159" t="s">
        <v>66</v>
      </c>
      <c r="U159" t="s">
        <v>90</v>
      </c>
      <c r="V159" t="s">
        <v>66</v>
      </c>
      <c r="W159" t="s">
        <v>66</v>
      </c>
      <c r="X159" t="s">
        <v>66</v>
      </c>
      <c r="Y159" t="s">
        <v>66</v>
      </c>
      <c r="Z159" s="99" t="str">
        <f t="shared" ca="1" si="13"/>
        <v/>
      </c>
      <c r="AA159" s="101" t="str">
        <f t="shared" ca="1" si="14"/>
        <v/>
      </c>
    </row>
    <row r="160" spans="2:27" ht="27.6" customHeight="1">
      <c r="B160">
        <f t="shared" ca="1" si="10"/>
        <v>0</v>
      </c>
      <c r="C160" t="s">
        <v>36</v>
      </c>
      <c r="G160" s="75">
        <v>1</v>
      </c>
      <c r="J160" s="66" t="str">
        <f t="shared" ca="1" si="11"/>
        <v>14%</v>
      </c>
      <c r="K160" t="s">
        <v>59</v>
      </c>
      <c r="L160" s="66" t="str">
        <f t="shared" ca="1" si="12"/>
        <v>Sin costo</v>
      </c>
      <c r="M160" t="s">
        <v>64</v>
      </c>
      <c r="N160" t="s">
        <v>66</v>
      </c>
      <c r="O160" t="s">
        <v>66</v>
      </c>
      <c r="P160" t="s">
        <v>66</v>
      </c>
      <c r="R160" t="s">
        <v>66</v>
      </c>
      <c r="U160" t="s">
        <v>90</v>
      </c>
      <c r="V160" t="s">
        <v>66</v>
      </c>
      <c r="W160" t="s">
        <v>66</v>
      </c>
      <c r="X160" t="s">
        <v>66</v>
      </c>
      <c r="Y160" t="s">
        <v>66</v>
      </c>
      <c r="Z160" s="99" t="str">
        <f t="shared" ca="1" si="13"/>
        <v/>
      </c>
      <c r="AA160" s="101" t="str">
        <f t="shared" ca="1" si="14"/>
        <v/>
      </c>
    </row>
    <row r="161" spans="2:27" ht="27.6" customHeight="1">
      <c r="B161">
        <f t="shared" ca="1" si="10"/>
        <v>0</v>
      </c>
      <c r="C161" t="s">
        <v>36</v>
      </c>
      <c r="G161" s="75">
        <v>1</v>
      </c>
      <c r="J161" s="66" t="str">
        <f t="shared" ca="1" si="11"/>
        <v>14%</v>
      </c>
      <c r="K161" t="s">
        <v>59</v>
      </c>
      <c r="L161" s="66" t="str">
        <f t="shared" ca="1" si="12"/>
        <v>Sin costo</v>
      </c>
      <c r="M161" t="s">
        <v>64</v>
      </c>
      <c r="N161" t="s">
        <v>66</v>
      </c>
      <c r="O161" t="s">
        <v>66</v>
      </c>
      <c r="P161" t="s">
        <v>66</v>
      </c>
      <c r="R161" t="s">
        <v>66</v>
      </c>
      <c r="U161" t="s">
        <v>90</v>
      </c>
      <c r="V161" t="s">
        <v>66</v>
      </c>
      <c r="W161" t="s">
        <v>66</v>
      </c>
      <c r="X161" t="s">
        <v>66</v>
      </c>
      <c r="Y161" t="s">
        <v>66</v>
      </c>
      <c r="Z161" s="99" t="str">
        <f t="shared" ca="1" si="13"/>
        <v/>
      </c>
      <c r="AA161" s="101" t="str">
        <f t="shared" ca="1" si="14"/>
        <v/>
      </c>
    </row>
    <row r="162" spans="2:27" ht="27.6" customHeight="1">
      <c r="B162">
        <f t="shared" ca="1" si="10"/>
        <v>0</v>
      </c>
      <c r="C162" t="s">
        <v>36</v>
      </c>
      <c r="G162" s="75">
        <v>1</v>
      </c>
      <c r="J162" s="66" t="str">
        <f t="shared" ca="1" si="11"/>
        <v>14%</v>
      </c>
      <c r="K162" t="s">
        <v>59</v>
      </c>
      <c r="L162" s="66" t="str">
        <f t="shared" ca="1" si="12"/>
        <v>Sin costo</v>
      </c>
      <c r="M162" t="s">
        <v>64</v>
      </c>
      <c r="N162" t="s">
        <v>66</v>
      </c>
      <c r="O162" t="s">
        <v>66</v>
      </c>
      <c r="P162" t="s">
        <v>66</v>
      </c>
      <c r="R162" t="s">
        <v>66</v>
      </c>
      <c r="U162" t="s">
        <v>90</v>
      </c>
      <c r="V162" t="s">
        <v>66</v>
      </c>
      <c r="W162" t="s">
        <v>66</v>
      </c>
      <c r="X162" t="s">
        <v>66</v>
      </c>
      <c r="Y162" t="s">
        <v>66</v>
      </c>
      <c r="Z162" s="99" t="str">
        <f t="shared" ca="1" si="13"/>
        <v/>
      </c>
      <c r="AA162" s="101" t="str">
        <f t="shared" ca="1" si="14"/>
        <v/>
      </c>
    </row>
    <row r="163" spans="2:27" ht="27.6" customHeight="1">
      <c r="B163">
        <f t="shared" ca="1" si="10"/>
        <v>0</v>
      </c>
      <c r="C163" t="s">
        <v>36</v>
      </c>
      <c r="G163" s="75">
        <v>1</v>
      </c>
      <c r="J163" s="66" t="str">
        <f t="shared" ca="1" si="11"/>
        <v>14%</v>
      </c>
      <c r="K163" t="s">
        <v>59</v>
      </c>
      <c r="L163" s="66" t="str">
        <f t="shared" ca="1" si="12"/>
        <v>Sin costo</v>
      </c>
      <c r="M163" t="s">
        <v>64</v>
      </c>
      <c r="N163" t="s">
        <v>66</v>
      </c>
      <c r="O163" t="s">
        <v>66</v>
      </c>
      <c r="P163" t="s">
        <v>66</v>
      </c>
      <c r="R163" t="s">
        <v>66</v>
      </c>
      <c r="U163" t="s">
        <v>90</v>
      </c>
      <c r="V163" t="s">
        <v>66</v>
      </c>
      <c r="W163" t="s">
        <v>66</v>
      </c>
      <c r="X163" t="s">
        <v>66</v>
      </c>
      <c r="Y163" t="s">
        <v>66</v>
      </c>
      <c r="Z163" s="99" t="str">
        <f t="shared" ca="1" si="13"/>
        <v/>
      </c>
      <c r="AA163" s="101" t="str">
        <f t="shared" ca="1" si="14"/>
        <v/>
      </c>
    </row>
    <row r="164" spans="2:27" ht="27.6" customHeight="1">
      <c r="B164">
        <f t="shared" ca="1" si="10"/>
        <v>0</v>
      </c>
      <c r="C164" t="s">
        <v>36</v>
      </c>
      <c r="G164" s="75">
        <v>1</v>
      </c>
      <c r="J164" s="66" t="str">
        <f t="shared" ca="1" si="11"/>
        <v>14%</v>
      </c>
      <c r="K164" t="s">
        <v>59</v>
      </c>
      <c r="L164" s="66" t="str">
        <f t="shared" ca="1" si="12"/>
        <v>Sin costo</v>
      </c>
      <c r="M164" t="s">
        <v>64</v>
      </c>
      <c r="N164" t="s">
        <v>66</v>
      </c>
      <c r="O164" t="s">
        <v>66</v>
      </c>
      <c r="P164" t="s">
        <v>66</v>
      </c>
      <c r="R164" t="s">
        <v>66</v>
      </c>
      <c r="U164" t="s">
        <v>90</v>
      </c>
      <c r="V164" t="s">
        <v>66</v>
      </c>
      <c r="W164" t="s">
        <v>66</v>
      </c>
      <c r="X164" t="s">
        <v>66</v>
      </c>
      <c r="Y164" t="s">
        <v>66</v>
      </c>
      <c r="Z164" s="99" t="str">
        <f t="shared" ca="1" si="13"/>
        <v/>
      </c>
      <c r="AA164" s="101" t="str">
        <f t="shared" ca="1" si="14"/>
        <v/>
      </c>
    </row>
    <row r="165" spans="2:27" ht="27.6" customHeight="1">
      <c r="B165">
        <f t="shared" ca="1" si="10"/>
        <v>0</v>
      </c>
      <c r="C165" t="s">
        <v>36</v>
      </c>
      <c r="G165" s="75">
        <v>1</v>
      </c>
      <c r="J165" s="66" t="str">
        <f t="shared" ca="1" si="11"/>
        <v>14%</v>
      </c>
      <c r="K165" t="s">
        <v>59</v>
      </c>
      <c r="L165" s="66" t="str">
        <f t="shared" ca="1" si="12"/>
        <v>Sin costo</v>
      </c>
      <c r="M165" t="s">
        <v>64</v>
      </c>
      <c r="N165" t="s">
        <v>66</v>
      </c>
      <c r="O165" t="s">
        <v>66</v>
      </c>
      <c r="P165" t="s">
        <v>66</v>
      </c>
      <c r="R165" t="s">
        <v>66</v>
      </c>
      <c r="U165" t="s">
        <v>90</v>
      </c>
      <c r="V165" t="s">
        <v>66</v>
      </c>
      <c r="W165" t="s">
        <v>66</v>
      </c>
      <c r="X165" t="s">
        <v>66</v>
      </c>
      <c r="Y165" t="s">
        <v>66</v>
      </c>
      <c r="Z165" s="99" t="str">
        <f t="shared" ca="1" si="13"/>
        <v/>
      </c>
      <c r="AA165" s="101" t="str">
        <f t="shared" ca="1" si="14"/>
        <v/>
      </c>
    </row>
    <row r="166" spans="2:27" ht="27.6" customHeight="1">
      <c r="B166">
        <f t="shared" ca="1" si="10"/>
        <v>0</v>
      </c>
      <c r="C166" t="s">
        <v>36</v>
      </c>
      <c r="G166" s="75">
        <v>1</v>
      </c>
      <c r="J166" s="66" t="str">
        <f t="shared" ca="1" si="11"/>
        <v>14%</v>
      </c>
      <c r="K166" t="s">
        <v>59</v>
      </c>
      <c r="L166" s="66" t="str">
        <f t="shared" ca="1" si="12"/>
        <v>Sin costo</v>
      </c>
      <c r="M166" t="s">
        <v>64</v>
      </c>
      <c r="N166" t="s">
        <v>66</v>
      </c>
      <c r="O166" t="s">
        <v>66</v>
      </c>
      <c r="P166" t="s">
        <v>66</v>
      </c>
      <c r="R166" t="s">
        <v>66</v>
      </c>
      <c r="U166" t="s">
        <v>90</v>
      </c>
      <c r="V166" t="s">
        <v>66</v>
      </c>
      <c r="W166" t="s">
        <v>66</v>
      </c>
      <c r="X166" t="s">
        <v>66</v>
      </c>
      <c r="Y166" t="s">
        <v>66</v>
      </c>
      <c r="Z166" s="99" t="str">
        <f t="shared" ca="1" si="13"/>
        <v/>
      </c>
      <c r="AA166" s="101" t="str">
        <f t="shared" ca="1" si="14"/>
        <v/>
      </c>
    </row>
    <row r="167" spans="2:27" ht="27.6" customHeight="1">
      <c r="B167">
        <f t="shared" ca="1" si="10"/>
        <v>0</v>
      </c>
      <c r="C167" t="s">
        <v>36</v>
      </c>
      <c r="G167" s="75">
        <v>1</v>
      </c>
      <c r="J167" s="66" t="str">
        <f t="shared" ca="1" si="11"/>
        <v>14%</v>
      </c>
      <c r="K167" t="s">
        <v>59</v>
      </c>
      <c r="L167" s="66" t="str">
        <f t="shared" ca="1" si="12"/>
        <v>Sin costo</v>
      </c>
      <c r="M167" t="s">
        <v>64</v>
      </c>
      <c r="N167" t="s">
        <v>66</v>
      </c>
      <c r="O167" t="s">
        <v>66</v>
      </c>
      <c r="P167" t="s">
        <v>66</v>
      </c>
      <c r="R167" t="s">
        <v>66</v>
      </c>
      <c r="U167" t="s">
        <v>90</v>
      </c>
      <c r="V167" t="s">
        <v>66</v>
      </c>
      <c r="W167" t="s">
        <v>66</v>
      </c>
      <c r="X167" t="s">
        <v>66</v>
      </c>
      <c r="Y167" t="s">
        <v>66</v>
      </c>
      <c r="Z167" s="99" t="str">
        <f t="shared" ca="1" si="13"/>
        <v/>
      </c>
      <c r="AA167" s="101" t="str">
        <f t="shared" ca="1" si="14"/>
        <v/>
      </c>
    </row>
    <row r="168" spans="2:27" ht="27.6" customHeight="1">
      <c r="B168">
        <f t="shared" ca="1" si="10"/>
        <v>0</v>
      </c>
      <c r="C168" t="s">
        <v>36</v>
      </c>
      <c r="G168" s="75">
        <v>1</v>
      </c>
      <c r="J168" s="66" t="str">
        <f t="shared" ca="1" si="11"/>
        <v>14%</v>
      </c>
      <c r="K168" t="s">
        <v>59</v>
      </c>
      <c r="L168" s="66" t="str">
        <f t="shared" ca="1" si="12"/>
        <v>Sin costo</v>
      </c>
      <c r="M168" t="s">
        <v>64</v>
      </c>
      <c r="N168" t="s">
        <v>66</v>
      </c>
      <c r="O168" t="s">
        <v>66</v>
      </c>
      <c r="P168" t="s">
        <v>66</v>
      </c>
      <c r="R168" t="s">
        <v>66</v>
      </c>
      <c r="U168" t="s">
        <v>90</v>
      </c>
      <c r="V168" t="s">
        <v>66</v>
      </c>
      <c r="W168" t="s">
        <v>66</v>
      </c>
      <c r="X168" t="s">
        <v>66</v>
      </c>
      <c r="Y168" t="s">
        <v>66</v>
      </c>
      <c r="Z168" s="99" t="str">
        <f t="shared" ca="1" si="13"/>
        <v/>
      </c>
      <c r="AA168" s="101" t="str">
        <f t="shared" ca="1" si="14"/>
        <v/>
      </c>
    </row>
    <row r="169" spans="2:27" ht="27.6" customHeight="1">
      <c r="B169">
        <f t="shared" ca="1" si="10"/>
        <v>0</v>
      </c>
      <c r="C169" t="s">
        <v>36</v>
      </c>
      <c r="G169" s="75">
        <v>1</v>
      </c>
      <c r="J169" s="66" t="str">
        <f t="shared" ca="1" si="11"/>
        <v>14%</v>
      </c>
      <c r="K169" t="s">
        <v>59</v>
      </c>
      <c r="L169" s="66" t="str">
        <f t="shared" ca="1" si="12"/>
        <v>Sin costo</v>
      </c>
      <c r="M169" t="s">
        <v>64</v>
      </c>
      <c r="N169" t="s">
        <v>66</v>
      </c>
      <c r="O169" t="s">
        <v>66</v>
      </c>
      <c r="P169" t="s">
        <v>66</v>
      </c>
      <c r="R169" t="s">
        <v>66</v>
      </c>
      <c r="U169" t="s">
        <v>90</v>
      </c>
      <c r="V169" t="s">
        <v>66</v>
      </c>
      <c r="W169" t="s">
        <v>66</v>
      </c>
      <c r="X169" t="s">
        <v>66</v>
      </c>
      <c r="Y169" t="s">
        <v>66</v>
      </c>
      <c r="Z169" s="99" t="str">
        <f t="shared" ca="1" si="13"/>
        <v/>
      </c>
      <c r="AA169" s="101" t="str">
        <f t="shared" ca="1" si="14"/>
        <v/>
      </c>
    </row>
    <row r="170" spans="2:27" ht="27.6" customHeight="1">
      <c r="B170">
        <f t="shared" ca="1" si="10"/>
        <v>0</v>
      </c>
      <c r="C170" t="s">
        <v>36</v>
      </c>
      <c r="G170" s="75">
        <v>1</v>
      </c>
      <c r="J170" s="66" t="str">
        <f t="shared" ca="1" si="11"/>
        <v>14%</v>
      </c>
      <c r="K170" t="s">
        <v>59</v>
      </c>
      <c r="L170" s="66" t="str">
        <f t="shared" ca="1" si="12"/>
        <v>Sin costo</v>
      </c>
      <c r="M170" t="s">
        <v>64</v>
      </c>
      <c r="N170" t="s">
        <v>66</v>
      </c>
      <c r="O170" t="s">
        <v>66</v>
      </c>
      <c r="P170" t="s">
        <v>66</v>
      </c>
      <c r="R170" t="s">
        <v>66</v>
      </c>
      <c r="U170" t="s">
        <v>90</v>
      </c>
      <c r="V170" t="s">
        <v>66</v>
      </c>
      <c r="W170" t="s">
        <v>66</v>
      </c>
      <c r="X170" t="s">
        <v>66</v>
      </c>
      <c r="Y170" t="s">
        <v>66</v>
      </c>
      <c r="Z170" s="99" t="str">
        <f t="shared" ca="1" si="13"/>
        <v/>
      </c>
      <c r="AA170" s="101" t="str">
        <f t="shared" ca="1" si="14"/>
        <v/>
      </c>
    </row>
    <row r="171" spans="2:27" ht="27.6" customHeight="1">
      <c r="B171">
        <f t="shared" ca="1" si="10"/>
        <v>0</v>
      </c>
      <c r="C171" t="s">
        <v>36</v>
      </c>
      <c r="G171" s="75">
        <v>1</v>
      </c>
      <c r="J171" s="66" t="str">
        <f t="shared" ca="1" si="11"/>
        <v>14%</v>
      </c>
      <c r="K171" t="s">
        <v>59</v>
      </c>
      <c r="L171" s="66" t="str">
        <f t="shared" ca="1" si="12"/>
        <v>Sin costo</v>
      </c>
      <c r="M171" t="s">
        <v>64</v>
      </c>
      <c r="N171" t="s">
        <v>66</v>
      </c>
      <c r="O171" t="s">
        <v>66</v>
      </c>
      <c r="P171" t="s">
        <v>66</v>
      </c>
      <c r="R171" t="s">
        <v>66</v>
      </c>
      <c r="U171" t="s">
        <v>90</v>
      </c>
      <c r="V171" t="s">
        <v>66</v>
      </c>
      <c r="W171" t="s">
        <v>66</v>
      </c>
      <c r="X171" t="s">
        <v>66</v>
      </c>
      <c r="Y171" t="s">
        <v>66</v>
      </c>
      <c r="Z171" s="99" t="str">
        <f t="shared" ca="1" si="13"/>
        <v/>
      </c>
      <c r="AA171" s="101" t="str">
        <f t="shared" ca="1" si="14"/>
        <v/>
      </c>
    </row>
    <row r="172" spans="2:27" ht="27.6" customHeight="1">
      <c r="B172">
        <f t="shared" ca="1" si="10"/>
        <v>0</v>
      </c>
      <c r="C172" t="s">
        <v>36</v>
      </c>
      <c r="G172" s="75">
        <v>1</v>
      </c>
      <c r="J172" s="66" t="str">
        <f t="shared" ca="1" si="11"/>
        <v>14%</v>
      </c>
      <c r="K172" t="s">
        <v>59</v>
      </c>
      <c r="L172" s="66" t="str">
        <f t="shared" ca="1" si="12"/>
        <v>Sin costo</v>
      </c>
      <c r="M172" t="s">
        <v>64</v>
      </c>
      <c r="N172" t="s">
        <v>66</v>
      </c>
      <c r="O172" t="s">
        <v>66</v>
      </c>
      <c r="P172" t="s">
        <v>66</v>
      </c>
      <c r="R172" t="s">
        <v>66</v>
      </c>
      <c r="U172" t="s">
        <v>90</v>
      </c>
      <c r="V172" t="s">
        <v>66</v>
      </c>
      <c r="W172" t="s">
        <v>66</v>
      </c>
      <c r="X172" t="s">
        <v>66</v>
      </c>
      <c r="Y172" t="s">
        <v>66</v>
      </c>
      <c r="Z172" s="99" t="str">
        <f t="shared" ca="1" si="13"/>
        <v/>
      </c>
      <c r="AA172" s="101" t="str">
        <f t="shared" ca="1" si="14"/>
        <v/>
      </c>
    </row>
    <row r="173" spans="2:27" ht="27.6" customHeight="1">
      <c r="B173">
        <f t="shared" ca="1" si="10"/>
        <v>0</v>
      </c>
      <c r="C173" t="s">
        <v>36</v>
      </c>
      <c r="G173" s="75">
        <v>1</v>
      </c>
      <c r="J173" s="66" t="str">
        <f t="shared" ca="1" si="11"/>
        <v>14%</v>
      </c>
      <c r="K173" t="s">
        <v>59</v>
      </c>
      <c r="L173" s="66" t="str">
        <f t="shared" ca="1" si="12"/>
        <v>Sin costo</v>
      </c>
      <c r="M173" t="s">
        <v>64</v>
      </c>
      <c r="N173" t="s">
        <v>66</v>
      </c>
      <c r="O173" t="s">
        <v>66</v>
      </c>
      <c r="P173" t="s">
        <v>66</v>
      </c>
      <c r="R173" t="s">
        <v>66</v>
      </c>
      <c r="U173" t="s">
        <v>90</v>
      </c>
      <c r="V173" t="s">
        <v>66</v>
      </c>
      <c r="W173" t="s">
        <v>66</v>
      </c>
      <c r="X173" t="s">
        <v>66</v>
      </c>
      <c r="Y173" t="s">
        <v>66</v>
      </c>
      <c r="Z173" s="99" t="str">
        <f t="shared" ca="1" si="13"/>
        <v/>
      </c>
      <c r="AA173" s="101" t="str">
        <f t="shared" ca="1" si="14"/>
        <v/>
      </c>
    </row>
    <row r="174" spans="2:27" ht="27.6" customHeight="1">
      <c r="B174">
        <f t="shared" ca="1" si="10"/>
        <v>0</v>
      </c>
      <c r="C174" t="s">
        <v>36</v>
      </c>
      <c r="G174" s="75">
        <v>1</v>
      </c>
      <c r="J174" s="66" t="str">
        <f t="shared" ca="1" si="11"/>
        <v>14%</v>
      </c>
      <c r="K174" t="s">
        <v>59</v>
      </c>
      <c r="L174" s="66" t="str">
        <f t="shared" ca="1" si="12"/>
        <v>Sin costo</v>
      </c>
      <c r="M174" t="s">
        <v>64</v>
      </c>
      <c r="N174" t="s">
        <v>66</v>
      </c>
      <c r="O174" t="s">
        <v>66</v>
      </c>
      <c r="P174" t="s">
        <v>66</v>
      </c>
      <c r="R174" t="s">
        <v>66</v>
      </c>
      <c r="U174" t="s">
        <v>90</v>
      </c>
      <c r="V174" t="s">
        <v>66</v>
      </c>
      <c r="W174" t="s">
        <v>66</v>
      </c>
      <c r="X174" t="s">
        <v>66</v>
      </c>
      <c r="Y174" t="s">
        <v>66</v>
      </c>
      <c r="Z174" s="99" t="str">
        <f t="shared" ca="1" si="13"/>
        <v/>
      </c>
      <c r="AA174" s="101" t="str">
        <f t="shared" ca="1" si="14"/>
        <v/>
      </c>
    </row>
    <row r="175" spans="2:27" ht="27.6" customHeight="1">
      <c r="B175">
        <f t="shared" ca="1" si="10"/>
        <v>0</v>
      </c>
      <c r="C175" t="s">
        <v>36</v>
      </c>
      <c r="G175" s="75">
        <v>1</v>
      </c>
      <c r="J175" s="66" t="str">
        <f t="shared" ca="1" si="11"/>
        <v>14%</v>
      </c>
      <c r="K175" t="s">
        <v>59</v>
      </c>
      <c r="L175" s="66" t="str">
        <f t="shared" ca="1" si="12"/>
        <v>Sin costo</v>
      </c>
      <c r="M175" t="s">
        <v>64</v>
      </c>
      <c r="N175" t="s">
        <v>66</v>
      </c>
      <c r="O175" t="s">
        <v>66</v>
      </c>
      <c r="P175" t="s">
        <v>66</v>
      </c>
      <c r="R175" t="s">
        <v>66</v>
      </c>
      <c r="U175" t="s">
        <v>90</v>
      </c>
      <c r="V175" t="s">
        <v>66</v>
      </c>
      <c r="W175" t="s">
        <v>66</v>
      </c>
      <c r="X175" t="s">
        <v>66</v>
      </c>
      <c r="Y175" t="s">
        <v>66</v>
      </c>
      <c r="Z175" s="99" t="str">
        <f t="shared" ca="1" si="13"/>
        <v/>
      </c>
      <c r="AA175" s="101" t="str">
        <f t="shared" ca="1" si="14"/>
        <v/>
      </c>
    </row>
    <row r="176" spans="2:27" ht="27.6" customHeight="1">
      <c r="B176">
        <f t="shared" ca="1" si="10"/>
        <v>0</v>
      </c>
      <c r="C176" t="s">
        <v>36</v>
      </c>
      <c r="G176" s="75">
        <v>1</v>
      </c>
      <c r="J176" s="66" t="str">
        <f t="shared" ca="1" si="11"/>
        <v>14%</v>
      </c>
      <c r="K176" t="s">
        <v>59</v>
      </c>
      <c r="L176" s="66" t="str">
        <f t="shared" ca="1" si="12"/>
        <v>Sin costo</v>
      </c>
      <c r="M176" t="s">
        <v>64</v>
      </c>
      <c r="N176" t="s">
        <v>66</v>
      </c>
      <c r="O176" t="s">
        <v>66</v>
      </c>
      <c r="P176" t="s">
        <v>66</v>
      </c>
      <c r="R176" t="s">
        <v>66</v>
      </c>
      <c r="U176" t="s">
        <v>90</v>
      </c>
      <c r="V176" t="s">
        <v>66</v>
      </c>
      <c r="W176" t="s">
        <v>66</v>
      </c>
      <c r="X176" t="s">
        <v>66</v>
      </c>
      <c r="Y176" t="s">
        <v>66</v>
      </c>
      <c r="Z176" s="99" t="str">
        <f t="shared" ca="1" si="13"/>
        <v/>
      </c>
      <c r="AA176" s="101" t="str">
        <f t="shared" ca="1" si="14"/>
        <v/>
      </c>
    </row>
    <row r="177" spans="2:27" ht="27.6" customHeight="1">
      <c r="B177">
        <f t="shared" ca="1" si="10"/>
        <v>0</v>
      </c>
      <c r="C177" t="s">
        <v>36</v>
      </c>
      <c r="G177" s="75">
        <v>1</v>
      </c>
      <c r="J177" s="66" t="str">
        <f t="shared" ca="1" si="11"/>
        <v>14%</v>
      </c>
      <c r="K177" t="s">
        <v>59</v>
      </c>
      <c r="L177" s="66" t="str">
        <f t="shared" ca="1" si="12"/>
        <v>Sin costo</v>
      </c>
      <c r="M177" t="s">
        <v>64</v>
      </c>
      <c r="N177" t="s">
        <v>66</v>
      </c>
      <c r="O177" t="s">
        <v>66</v>
      </c>
      <c r="P177" t="s">
        <v>66</v>
      </c>
      <c r="R177" t="s">
        <v>66</v>
      </c>
      <c r="U177" t="s">
        <v>90</v>
      </c>
      <c r="V177" t="s">
        <v>66</v>
      </c>
      <c r="W177" t="s">
        <v>66</v>
      </c>
      <c r="X177" t="s">
        <v>66</v>
      </c>
      <c r="Y177" t="s">
        <v>66</v>
      </c>
      <c r="Z177" s="99" t="str">
        <f t="shared" ca="1" si="13"/>
        <v/>
      </c>
      <c r="AA177" s="101" t="str">
        <f t="shared" ca="1" si="14"/>
        <v/>
      </c>
    </row>
    <row r="178" spans="2:27" ht="27.6" customHeight="1">
      <c r="B178">
        <f t="shared" ca="1" si="10"/>
        <v>0</v>
      </c>
      <c r="C178" t="s">
        <v>36</v>
      </c>
      <c r="G178" s="75">
        <v>1</v>
      </c>
      <c r="J178" s="66" t="str">
        <f t="shared" ca="1" si="11"/>
        <v>14%</v>
      </c>
      <c r="K178" t="s">
        <v>59</v>
      </c>
      <c r="L178" s="66" t="str">
        <f t="shared" ca="1" si="12"/>
        <v>Sin costo</v>
      </c>
      <c r="M178" t="s">
        <v>64</v>
      </c>
      <c r="N178" t="s">
        <v>66</v>
      </c>
      <c r="O178" t="s">
        <v>66</v>
      </c>
      <c r="P178" t="s">
        <v>66</v>
      </c>
      <c r="R178" t="s">
        <v>66</v>
      </c>
      <c r="U178" t="s">
        <v>90</v>
      </c>
      <c r="V178" t="s">
        <v>66</v>
      </c>
      <c r="W178" t="s">
        <v>66</v>
      </c>
      <c r="X178" t="s">
        <v>66</v>
      </c>
      <c r="Y178" t="s">
        <v>66</v>
      </c>
      <c r="Z178" s="99" t="str">
        <f t="shared" ca="1" si="13"/>
        <v/>
      </c>
      <c r="AA178" s="101" t="str">
        <f t="shared" ca="1" si="14"/>
        <v/>
      </c>
    </row>
    <row r="179" spans="2:27" ht="27.6" customHeight="1">
      <c r="B179">
        <f t="shared" ca="1" si="10"/>
        <v>0</v>
      </c>
      <c r="C179" t="s">
        <v>36</v>
      </c>
      <c r="G179" s="75">
        <v>1</v>
      </c>
      <c r="J179" s="66" t="str">
        <f t="shared" ca="1" si="11"/>
        <v>14%</v>
      </c>
      <c r="K179" t="s">
        <v>59</v>
      </c>
      <c r="L179" s="66" t="str">
        <f t="shared" ca="1" si="12"/>
        <v>Sin costo</v>
      </c>
      <c r="M179" t="s">
        <v>64</v>
      </c>
      <c r="N179" t="s">
        <v>66</v>
      </c>
      <c r="O179" t="s">
        <v>66</v>
      </c>
      <c r="P179" t="s">
        <v>66</v>
      </c>
      <c r="R179" t="s">
        <v>66</v>
      </c>
      <c r="U179" t="s">
        <v>90</v>
      </c>
      <c r="V179" t="s">
        <v>66</v>
      </c>
      <c r="W179" t="s">
        <v>66</v>
      </c>
      <c r="X179" t="s">
        <v>66</v>
      </c>
      <c r="Y179" t="s">
        <v>66</v>
      </c>
      <c r="Z179" s="99" t="str">
        <f t="shared" ca="1" si="13"/>
        <v/>
      </c>
      <c r="AA179" s="101" t="str">
        <f t="shared" ca="1" si="14"/>
        <v/>
      </c>
    </row>
    <row r="180" spans="2:27" ht="27.6" customHeight="1">
      <c r="B180">
        <f t="shared" ca="1" si="10"/>
        <v>0</v>
      </c>
      <c r="C180" t="s">
        <v>36</v>
      </c>
      <c r="G180" s="75">
        <v>1</v>
      </c>
      <c r="J180" s="66" t="str">
        <f t="shared" ca="1" si="11"/>
        <v>14%</v>
      </c>
      <c r="K180" t="s">
        <v>59</v>
      </c>
      <c r="L180" s="66" t="str">
        <f t="shared" ca="1" si="12"/>
        <v>Sin costo</v>
      </c>
      <c r="M180" t="s">
        <v>64</v>
      </c>
      <c r="N180" t="s">
        <v>66</v>
      </c>
      <c r="O180" t="s">
        <v>66</v>
      </c>
      <c r="P180" t="s">
        <v>66</v>
      </c>
      <c r="R180" t="s">
        <v>66</v>
      </c>
      <c r="U180" t="s">
        <v>90</v>
      </c>
      <c r="V180" t="s">
        <v>66</v>
      </c>
      <c r="W180" t="s">
        <v>66</v>
      </c>
      <c r="X180" t="s">
        <v>66</v>
      </c>
      <c r="Y180" t="s">
        <v>66</v>
      </c>
      <c r="Z180" s="99" t="str">
        <f t="shared" ca="1" si="13"/>
        <v/>
      </c>
      <c r="AA180" s="101" t="str">
        <f t="shared" ca="1" si="14"/>
        <v/>
      </c>
    </row>
    <row r="181" spans="2:27" ht="27.6" customHeight="1">
      <c r="B181">
        <f t="shared" ca="1" si="10"/>
        <v>0</v>
      </c>
      <c r="C181" t="s">
        <v>36</v>
      </c>
      <c r="G181" s="75">
        <v>1</v>
      </c>
      <c r="J181" s="66" t="str">
        <f t="shared" ca="1" si="11"/>
        <v>14%</v>
      </c>
      <c r="K181" t="s">
        <v>59</v>
      </c>
      <c r="L181" s="66" t="str">
        <f t="shared" ca="1" si="12"/>
        <v>Sin costo</v>
      </c>
      <c r="M181" t="s">
        <v>64</v>
      </c>
      <c r="N181" t="s">
        <v>66</v>
      </c>
      <c r="O181" t="s">
        <v>66</v>
      </c>
      <c r="P181" t="s">
        <v>66</v>
      </c>
      <c r="R181" t="s">
        <v>66</v>
      </c>
      <c r="U181" t="s">
        <v>90</v>
      </c>
      <c r="V181" t="s">
        <v>66</v>
      </c>
      <c r="W181" t="s">
        <v>66</v>
      </c>
      <c r="X181" t="s">
        <v>66</v>
      </c>
      <c r="Y181" t="s">
        <v>66</v>
      </c>
      <c r="Z181" s="99" t="str">
        <f t="shared" ca="1" si="13"/>
        <v/>
      </c>
      <c r="AA181" s="101" t="str">
        <f t="shared" ca="1" si="14"/>
        <v/>
      </c>
    </row>
    <row r="182" spans="2:27" ht="27.6" customHeight="1">
      <c r="B182">
        <f t="shared" ca="1" si="10"/>
        <v>0</v>
      </c>
      <c r="C182" t="s">
        <v>36</v>
      </c>
      <c r="G182" s="75">
        <v>1</v>
      </c>
      <c r="J182" s="66" t="str">
        <f t="shared" ca="1" si="11"/>
        <v>14%</v>
      </c>
      <c r="K182" t="s">
        <v>59</v>
      </c>
      <c r="L182" s="66" t="str">
        <f t="shared" ca="1" si="12"/>
        <v>Sin costo</v>
      </c>
      <c r="M182" t="s">
        <v>64</v>
      </c>
      <c r="N182" t="s">
        <v>66</v>
      </c>
      <c r="O182" t="s">
        <v>66</v>
      </c>
      <c r="P182" t="s">
        <v>66</v>
      </c>
      <c r="R182" t="s">
        <v>66</v>
      </c>
      <c r="U182" t="s">
        <v>90</v>
      </c>
      <c r="V182" t="s">
        <v>66</v>
      </c>
      <c r="W182" t="s">
        <v>66</v>
      </c>
      <c r="X182" t="s">
        <v>66</v>
      </c>
      <c r="Y182" t="s">
        <v>66</v>
      </c>
      <c r="Z182" s="99" t="str">
        <f t="shared" ca="1" si="13"/>
        <v/>
      </c>
      <c r="AA182" s="101" t="str">
        <f t="shared" ca="1" si="14"/>
        <v/>
      </c>
    </row>
    <row r="183" spans="2:27" ht="27.6" customHeight="1">
      <c r="B183">
        <f t="shared" ca="1" si="10"/>
        <v>0</v>
      </c>
      <c r="C183" t="s">
        <v>36</v>
      </c>
      <c r="G183" s="75">
        <v>1</v>
      </c>
      <c r="J183" s="66" t="str">
        <f t="shared" ca="1" si="11"/>
        <v>14%</v>
      </c>
      <c r="K183" t="s">
        <v>59</v>
      </c>
      <c r="L183" s="66" t="str">
        <f t="shared" ca="1" si="12"/>
        <v>Sin costo</v>
      </c>
      <c r="M183" t="s">
        <v>64</v>
      </c>
      <c r="N183" t="s">
        <v>66</v>
      </c>
      <c r="O183" t="s">
        <v>66</v>
      </c>
      <c r="P183" t="s">
        <v>66</v>
      </c>
      <c r="R183" t="s">
        <v>66</v>
      </c>
      <c r="U183" t="s">
        <v>90</v>
      </c>
      <c r="V183" t="s">
        <v>66</v>
      </c>
      <c r="W183" t="s">
        <v>66</v>
      </c>
      <c r="X183" t="s">
        <v>66</v>
      </c>
      <c r="Y183" t="s">
        <v>66</v>
      </c>
      <c r="Z183" s="99" t="str">
        <f t="shared" ca="1" si="13"/>
        <v/>
      </c>
      <c r="AA183" s="101" t="str">
        <f t="shared" ca="1" si="14"/>
        <v/>
      </c>
    </row>
    <row r="184" spans="2:27" ht="27.6" customHeight="1">
      <c r="B184">
        <f t="shared" ca="1" si="10"/>
        <v>0</v>
      </c>
      <c r="C184" t="s">
        <v>36</v>
      </c>
      <c r="G184" s="75">
        <v>1</v>
      </c>
      <c r="J184" s="66" t="str">
        <f t="shared" ca="1" si="11"/>
        <v>14%</v>
      </c>
      <c r="K184" t="s">
        <v>59</v>
      </c>
      <c r="L184" s="66" t="str">
        <f t="shared" ca="1" si="12"/>
        <v>Sin costo</v>
      </c>
      <c r="M184" t="s">
        <v>64</v>
      </c>
      <c r="N184" t="s">
        <v>66</v>
      </c>
      <c r="O184" t="s">
        <v>66</v>
      </c>
      <c r="P184" t="s">
        <v>66</v>
      </c>
      <c r="R184" t="s">
        <v>66</v>
      </c>
      <c r="U184" t="s">
        <v>90</v>
      </c>
      <c r="V184" t="s">
        <v>66</v>
      </c>
      <c r="W184" t="s">
        <v>66</v>
      </c>
      <c r="X184" t="s">
        <v>66</v>
      </c>
      <c r="Y184" t="s">
        <v>66</v>
      </c>
      <c r="Z184" s="99" t="str">
        <f t="shared" ca="1" si="13"/>
        <v/>
      </c>
      <c r="AA184" s="101" t="str">
        <f t="shared" ca="1" si="14"/>
        <v/>
      </c>
    </row>
    <row r="185" spans="2:27" ht="27.6" customHeight="1">
      <c r="B185">
        <f t="shared" ca="1" si="10"/>
        <v>0</v>
      </c>
      <c r="C185" t="s">
        <v>36</v>
      </c>
      <c r="G185" s="75">
        <v>1</v>
      </c>
      <c r="J185" s="66" t="str">
        <f t="shared" ca="1" si="11"/>
        <v>14%</v>
      </c>
      <c r="K185" t="s">
        <v>59</v>
      </c>
      <c r="L185" s="66" t="str">
        <f t="shared" ca="1" si="12"/>
        <v>Sin costo</v>
      </c>
      <c r="M185" t="s">
        <v>64</v>
      </c>
      <c r="N185" t="s">
        <v>66</v>
      </c>
      <c r="O185" t="s">
        <v>66</v>
      </c>
      <c r="P185" t="s">
        <v>66</v>
      </c>
      <c r="R185" t="s">
        <v>66</v>
      </c>
      <c r="U185" t="s">
        <v>90</v>
      </c>
      <c r="V185" t="s">
        <v>66</v>
      </c>
      <c r="W185" t="s">
        <v>66</v>
      </c>
      <c r="X185" t="s">
        <v>66</v>
      </c>
      <c r="Y185" t="s">
        <v>66</v>
      </c>
      <c r="Z185" s="99" t="str">
        <f t="shared" ca="1" si="13"/>
        <v/>
      </c>
      <c r="AA185" s="101" t="str">
        <f t="shared" ca="1" si="14"/>
        <v/>
      </c>
    </row>
    <row r="186" spans="2:27" ht="27.6" customHeight="1">
      <c r="B186">
        <f t="shared" ca="1" si="10"/>
        <v>0</v>
      </c>
      <c r="C186" t="s">
        <v>36</v>
      </c>
      <c r="G186" s="75">
        <v>1</v>
      </c>
      <c r="J186" s="66" t="str">
        <f t="shared" ca="1" si="11"/>
        <v>14%</v>
      </c>
      <c r="K186" t="s">
        <v>59</v>
      </c>
      <c r="L186" s="66" t="str">
        <f t="shared" ca="1" si="12"/>
        <v>Sin costo</v>
      </c>
      <c r="M186" t="s">
        <v>64</v>
      </c>
      <c r="N186" t="s">
        <v>66</v>
      </c>
      <c r="O186" t="s">
        <v>66</v>
      </c>
      <c r="P186" t="s">
        <v>66</v>
      </c>
      <c r="R186" t="s">
        <v>66</v>
      </c>
      <c r="U186" t="s">
        <v>90</v>
      </c>
      <c r="V186" t="s">
        <v>66</v>
      </c>
      <c r="W186" t="s">
        <v>66</v>
      </c>
      <c r="X186" t="s">
        <v>66</v>
      </c>
      <c r="Y186" t="s">
        <v>66</v>
      </c>
      <c r="Z186" s="99" t="str">
        <f t="shared" ca="1" si="13"/>
        <v/>
      </c>
      <c r="AA186" s="101" t="str">
        <f t="shared" ca="1" si="14"/>
        <v/>
      </c>
    </row>
    <row r="187" spans="2:27" ht="27.6" customHeight="1">
      <c r="B187">
        <f t="shared" ca="1" si="10"/>
        <v>0</v>
      </c>
      <c r="C187" t="s">
        <v>36</v>
      </c>
      <c r="G187" s="75">
        <v>1</v>
      </c>
      <c r="J187" s="66" t="str">
        <f t="shared" ca="1" si="11"/>
        <v>14%</v>
      </c>
      <c r="K187" t="s">
        <v>59</v>
      </c>
      <c r="L187" s="66" t="str">
        <f t="shared" ca="1" si="12"/>
        <v>Sin costo</v>
      </c>
      <c r="M187" t="s">
        <v>64</v>
      </c>
      <c r="N187" t="s">
        <v>66</v>
      </c>
      <c r="O187" t="s">
        <v>66</v>
      </c>
      <c r="P187" t="s">
        <v>66</v>
      </c>
      <c r="R187" t="s">
        <v>66</v>
      </c>
      <c r="U187" t="s">
        <v>90</v>
      </c>
      <c r="V187" t="s">
        <v>66</v>
      </c>
      <c r="W187" t="s">
        <v>66</v>
      </c>
      <c r="X187" t="s">
        <v>66</v>
      </c>
      <c r="Y187" t="s">
        <v>66</v>
      </c>
      <c r="Z187" s="99" t="str">
        <f t="shared" ca="1" si="13"/>
        <v/>
      </c>
      <c r="AA187" s="101" t="str">
        <f t="shared" ca="1" si="14"/>
        <v/>
      </c>
    </row>
    <row r="188" spans="2:27" ht="27.6" customHeight="1">
      <c r="B188">
        <f t="shared" ca="1" si="10"/>
        <v>0</v>
      </c>
      <c r="C188" t="s">
        <v>36</v>
      </c>
      <c r="G188" s="75">
        <v>1</v>
      </c>
      <c r="J188" s="66" t="str">
        <f t="shared" ca="1" si="11"/>
        <v>14%</v>
      </c>
      <c r="K188" t="s">
        <v>59</v>
      </c>
      <c r="L188" s="66" t="str">
        <f t="shared" ca="1" si="12"/>
        <v>Sin costo</v>
      </c>
      <c r="M188" t="s">
        <v>64</v>
      </c>
      <c r="N188" t="s">
        <v>66</v>
      </c>
      <c r="O188" t="s">
        <v>66</v>
      </c>
      <c r="P188" t="s">
        <v>66</v>
      </c>
      <c r="R188" t="s">
        <v>66</v>
      </c>
      <c r="U188" t="s">
        <v>90</v>
      </c>
      <c r="V188" t="s">
        <v>66</v>
      </c>
      <c r="W188" t="s">
        <v>66</v>
      </c>
      <c r="X188" t="s">
        <v>66</v>
      </c>
      <c r="Y188" t="s">
        <v>66</v>
      </c>
      <c r="Z188" s="99" t="str">
        <f t="shared" ca="1" si="13"/>
        <v/>
      </c>
      <c r="AA188" s="101" t="str">
        <f t="shared" ca="1" si="14"/>
        <v/>
      </c>
    </row>
    <row r="189" spans="2:27" ht="27.6" customHeight="1">
      <c r="B189">
        <f t="shared" ca="1" si="10"/>
        <v>0</v>
      </c>
      <c r="C189" t="s">
        <v>36</v>
      </c>
      <c r="G189" s="75">
        <v>1</v>
      </c>
      <c r="J189" s="66" t="str">
        <f t="shared" ca="1" si="11"/>
        <v>14%</v>
      </c>
      <c r="K189" t="s">
        <v>59</v>
      </c>
      <c r="L189" s="66" t="str">
        <f t="shared" ca="1" si="12"/>
        <v>Sin costo</v>
      </c>
      <c r="M189" t="s">
        <v>64</v>
      </c>
      <c r="N189" t="s">
        <v>66</v>
      </c>
      <c r="O189" t="s">
        <v>66</v>
      </c>
      <c r="P189" t="s">
        <v>66</v>
      </c>
      <c r="R189" t="s">
        <v>66</v>
      </c>
      <c r="U189" t="s">
        <v>90</v>
      </c>
      <c r="V189" t="s">
        <v>66</v>
      </c>
      <c r="W189" t="s">
        <v>66</v>
      </c>
      <c r="X189" t="s">
        <v>66</v>
      </c>
      <c r="Y189" t="s">
        <v>66</v>
      </c>
      <c r="Z189" s="99" t="str">
        <f t="shared" ca="1" si="13"/>
        <v/>
      </c>
      <c r="AA189" s="101" t="str">
        <f t="shared" ca="1" si="14"/>
        <v/>
      </c>
    </row>
    <row r="190" spans="2:27" ht="27.6" customHeight="1">
      <c r="B190">
        <f t="shared" ca="1" si="10"/>
        <v>0</v>
      </c>
      <c r="C190" t="s">
        <v>36</v>
      </c>
      <c r="G190" s="75">
        <v>1</v>
      </c>
      <c r="J190" s="66" t="str">
        <f t="shared" ca="1" si="11"/>
        <v>14%</v>
      </c>
      <c r="K190" t="s">
        <v>59</v>
      </c>
      <c r="L190" s="66" t="str">
        <f t="shared" ca="1" si="12"/>
        <v>Sin costo</v>
      </c>
      <c r="M190" t="s">
        <v>64</v>
      </c>
      <c r="N190" t="s">
        <v>66</v>
      </c>
      <c r="O190" t="s">
        <v>66</v>
      </c>
      <c r="P190" t="s">
        <v>66</v>
      </c>
      <c r="R190" t="s">
        <v>66</v>
      </c>
      <c r="U190" t="s">
        <v>90</v>
      </c>
      <c r="V190" t="s">
        <v>66</v>
      </c>
      <c r="W190" t="s">
        <v>66</v>
      </c>
      <c r="X190" t="s">
        <v>66</v>
      </c>
      <c r="Y190" t="s">
        <v>66</v>
      </c>
      <c r="Z190" s="99" t="str">
        <f t="shared" ca="1" si="13"/>
        <v/>
      </c>
      <c r="AA190" s="101" t="str">
        <f t="shared" ca="1" si="14"/>
        <v/>
      </c>
    </row>
    <row r="191" spans="2:27" ht="27.6" customHeight="1">
      <c r="B191">
        <f t="shared" ca="1" si="10"/>
        <v>0</v>
      </c>
      <c r="C191" t="s">
        <v>36</v>
      </c>
      <c r="G191" s="75">
        <v>1</v>
      </c>
      <c r="J191" s="66" t="str">
        <f t="shared" ca="1" si="11"/>
        <v>14%</v>
      </c>
      <c r="K191" t="s">
        <v>59</v>
      </c>
      <c r="L191" s="66" t="str">
        <f t="shared" ca="1" si="12"/>
        <v>Sin costo</v>
      </c>
      <c r="M191" t="s">
        <v>64</v>
      </c>
      <c r="N191" t="s">
        <v>66</v>
      </c>
      <c r="O191" t="s">
        <v>66</v>
      </c>
      <c r="P191" t="s">
        <v>66</v>
      </c>
      <c r="R191" t="s">
        <v>66</v>
      </c>
      <c r="U191" t="s">
        <v>90</v>
      </c>
      <c r="V191" t="s">
        <v>66</v>
      </c>
      <c r="W191" t="s">
        <v>66</v>
      </c>
      <c r="X191" t="s">
        <v>66</v>
      </c>
      <c r="Y191" t="s">
        <v>66</v>
      </c>
      <c r="Z191" s="99" t="str">
        <f t="shared" ca="1" si="13"/>
        <v/>
      </c>
      <c r="AA191" s="101" t="str">
        <f t="shared" ca="1" si="14"/>
        <v/>
      </c>
    </row>
    <row r="192" spans="2:27" ht="27.6" customHeight="1">
      <c r="B192">
        <f t="shared" ca="1" si="10"/>
        <v>0</v>
      </c>
      <c r="C192" t="s">
        <v>36</v>
      </c>
      <c r="G192" s="75">
        <v>1</v>
      </c>
      <c r="J192" s="66" t="str">
        <f t="shared" ca="1" si="11"/>
        <v>14%</v>
      </c>
      <c r="K192" t="s">
        <v>59</v>
      </c>
      <c r="L192" s="66" t="str">
        <f t="shared" ca="1" si="12"/>
        <v>Sin costo</v>
      </c>
      <c r="M192" t="s">
        <v>64</v>
      </c>
      <c r="N192" t="s">
        <v>66</v>
      </c>
      <c r="O192" t="s">
        <v>66</v>
      </c>
      <c r="P192" t="s">
        <v>66</v>
      </c>
      <c r="R192" t="s">
        <v>66</v>
      </c>
      <c r="U192" t="s">
        <v>90</v>
      </c>
      <c r="V192" t="s">
        <v>66</v>
      </c>
      <c r="W192" t="s">
        <v>66</v>
      </c>
      <c r="X192" t="s">
        <v>66</v>
      </c>
      <c r="Y192" t="s">
        <v>66</v>
      </c>
      <c r="Z192" s="99" t="str">
        <f t="shared" ca="1" si="13"/>
        <v/>
      </c>
      <c r="AA192" s="101" t="str">
        <f t="shared" ca="1" si="14"/>
        <v/>
      </c>
    </row>
    <row r="193" spans="2:27" ht="27.6" customHeight="1">
      <c r="B193">
        <f t="shared" ca="1" si="10"/>
        <v>0</v>
      </c>
      <c r="C193" t="s">
        <v>36</v>
      </c>
      <c r="G193" s="75">
        <v>1</v>
      </c>
      <c r="J193" s="66" t="str">
        <f t="shared" ca="1" si="11"/>
        <v>14%</v>
      </c>
      <c r="K193" t="s">
        <v>59</v>
      </c>
      <c r="L193" s="66" t="str">
        <f t="shared" ca="1" si="12"/>
        <v>Sin costo</v>
      </c>
      <c r="M193" t="s">
        <v>64</v>
      </c>
      <c r="N193" t="s">
        <v>66</v>
      </c>
      <c r="O193" t="s">
        <v>66</v>
      </c>
      <c r="P193" t="s">
        <v>66</v>
      </c>
      <c r="R193" t="s">
        <v>66</v>
      </c>
      <c r="U193" t="s">
        <v>90</v>
      </c>
      <c r="V193" t="s">
        <v>66</v>
      </c>
      <c r="W193" t="s">
        <v>66</v>
      </c>
      <c r="X193" t="s">
        <v>66</v>
      </c>
      <c r="Y193" t="s">
        <v>66</v>
      </c>
      <c r="Z193" s="99" t="str">
        <f t="shared" ca="1" si="13"/>
        <v/>
      </c>
      <c r="AA193" s="101" t="str">
        <f t="shared" ca="1" si="14"/>
        <v/>
      </c>
    </row>
    <row r="194" spans="2:27" ht="27.6" customHeight="1">
      <c r="B194">
        <f t="shared" ca="1" si="10"/>
        <v>0</v>
      </c>
      <c r="C194" t="s">
        <v>36</v>
      </c>
      <c r="G194" s="75">
        <v>1</v>
      </c>
      <c r="J194" s="66" t="str">
        <f t="shared" ca="1" si="11"/>
        <v>14%</v>
      </c>
      <c r="K194" t="s">
        <v>59</v>
      </c>
      <c r="L194" s="66" t="str">
        <f t="shared" ca="1" si="12"/>
        <v>Sin costo</v>
      </c>
      <c r="M194" t="s">
        <v>64</v>
      </c>
      <c r="N194" t="s">
        <v>66</v>
      </c>
      <c r="O194" t="s">
        <v>66</v>
      </c>
      <c r="P194" t="s">
        <v>66</v>
      </c>
      <c r="R194" t="s">
        <v>66</v>
      </c>
      <c r="U194" t="s">
        <v>90</v>
      </c>
      <c r="V194" t="s">
        <v>66</v>
      </c>
      <c r="W194" t="s">
        <v>66</v>
      </c>
      <c r="X194" t="s">
        <v>66</v>
      </c>
      <c r="Y194" t="s">
        <v>66</v>
      </c>
      <c r="Z194" s="99" t="str">
        <f t="shared" ca="1" si="13"/>
        <v/>
      </c>
      <c r="AA194" s="101" t="str">
        <f t="shared" ca="1" si="14"/>
        <v/>
      </c>
    </row>
    <row r="195" spans="2:27" ht="27.6" customHeight="1">
      <c r="B195">
        <f t="shared" ca="1" si="10"/>
        <v>0</v>
      </c>
      <c r="C195" t="s">
        <v>36</v>
      </c>
      <c r="G195" s="75">
        <v>1</v>
      </c>
      <c r="J195" s="66" t="str">
        <f t="shared" ca="1" si="11"/>
        <v>14%</v>
      </c>
      <c r="K195" t="s">
        <v>59</v>
      </c>
      <c r="L195" s="66" t="str">
        <f t="shared" ca="1" si="12"/>
        <v>Sin costo</v>
      </c>
      <c r="M195" t="s">
        <v>64</v>
      </c>
      <c r="N195" t="s">
        <v>66</v>
      </c>
      <c r="O195" t="s">
        <v>66</v>
      </c>
      <c r="P195" t="s">
        <v>66</v>
      </c>
      <c r="R195" t="s">
        <v>66</v>
      </c>
      <c r="U195" t="s">
        <v>90</v>
      </c>
      <c r="V195" t="s">
        <v>66</v>
      </c>
      <c r="W195" t="s">
        <v>66</v>
      </c>
      <c r="X195" t="s">
        <v>66</v>
      </c>
      <c r="Y195" t="s">
        <v>66</v>
      </c>
      <c r="Z195" s="99" t="str">
        <f t="shared" ca="1" si="13"/>
        <v/>
      </c>
      <c r="AA195" s="101" t="str">
        <f t="shared" ca="1" si="14"/>
        <v/>
      </c>
    </row>
    <row r="196" spans="2:27" ht="27.6" customHeight="1">
      <c r="B196">
        <f t="shared" ca="1" si="10"/>
        <v>0</v>
      </c>
      <c r="C196" t="s">
        <v>36</v>
      </c>
      <c r="G196" s="75">
        <v>1</v>
      </c>
      <c r="J196" s="66" t="str">
        <f t="shared" ca="1" si="11"/>
        <v>14%</v>
      </c>
      <c r="K196" t="s">
        <v>59</v>
      </c>
      <c r="L196" s="66" t="str">
        <f t="shared" ca="1" si="12"/>
        <v>Sin costo</v>
      </c>
      <c r="M196" t="s">
        <v>64</v>
      </c>
      <c r="N196" t="s">
        <v>66</v>
      </c>
      <c r="O196" t="s">
        <v>66</v>
      </c>
      <c r="P196" t="s">
        <v>66</v>
      </c>
      <c r="R196" t="s">
        <v>66</v>
      </c>
      <c r="U196" t="s">
        <v>90</v>
      </c>
      <c r="V196" t="s">
        <v>66</v>
      </c>
      <c r="W196" t="s">
        <v>66</v>
      </c>
      <c r="X196" t="s">
        <v>66</v>
      </c>
      <c r="Y196" t="s">
        <v>66</v>
      </c>
      <c r="Z196" s="99" t="str">
        <f t="shared" ca="1" si="13"/>
        <v/>
      </c>
      <c r="AA196" s="101" t="str">
        <f t="shared" ca="1" si="14"/>
        <v/>
      </c>
    </row>
    <row r="197" spans="2:27" ht="27.6" customHeight="1">
      <c r="B197">
        <f t="shared" ca="1" si="10"/>
        <v>0</v>
      </c>
      <c r="C197" t="s">
        <v>36</v>
      </c>
      <c r="G197" s="75">
        <v>1</v>
      </c>
      <c r="J197" s="66" t="str">
        <f t="shared" ca="1" si="11"/>
        <v>14%</v>
      </c>
      <c r="K197" t="s">
        <v>59</v>
      </c>
      <c r="L197" s="66" t="str">
        <f t="shared" ca="1" si="12"/>
        <v>Sin costo</v>
      </c>
      <c r="M197" t="s">
        <v>64</v>
      </c>
      <c r="N197" t="s">
        <v>66</v>
      </c>
      <c r="O197" t="s">
        <v>66</v>
      </c>
      <c r="P197" t="s">
        <v>66</v>
      </c>
      <c r="R197" t="s">
        <v>66</v>
      </c>
      <c r="U197" t="s">
        <v>90</v>
      </c>
      <c r="V197" t="s">
        <v>66</v>
      </c>
      <c r="W197" t="s">
        <v>66</v>
      </c>
      <c r="X197" t="s">
        <v>66</v>
      </c>
      <c r="Y197" t="s">
        <v>66</v>
      </c>
      <c r="Z197" s="99" t="str">
        <f t="shared" ca="1" si="13"/>
        <v/>
      </c>
      <c r="AA197" s="101" t="str">
        <f t="shared" ca="1" si="14"/>
        <v/>
      </c>
    </row>
    <row r="198" spans="2:27" ht="27.6" customHeight="1">
      <c r="B198">
        <f t="shared" ca="1" si="10"/>
        <v>0</v>
      </c>
      <c r="C198" t="s">
        <v>36</v>
      </c>
      <c r="G198" s="75">
        <v>1</v>
      </c>
      <c r="J198" s="66" t="str">
        <f t="shared" ca="1" si="11"/>
        <v>14%</v>
      </c>
      <c r="K198" t="s">
        <v>59</v>
      </c>
      <c r="L198" s="66" t="str">
        <f t="shared" ca="1" si="12"/>
        <v>Sin costo</v>
      </c>
      <c r="M198" t="s">
        <v>64</v>
      </c>
      <c r="N198" t="s">
        <v>66</v>
      </c>
      <c r="O198" t="s">
        <v>66</v>
      </c>
      <c r="P198" t="s">
        <v>66</v>
      </c>
      <c r="R198" t="s">
        <v>66</v>
      </c>
      <c r="U198" t="s">
        <v>90</v>
      </c>
      <c r="V198" t="s">
        <v>66</v>
      </c>
      <c r="W198" t="s">
        <v>66</v>
      </c>
      <c r="X198" t="s">
        <v>66</v>
      </c>
      <c r="Y198" t="s">
        <v>66</v>
      </c>
      <c r="Z198" s="99" t="str">
        <f t="shared" ca="1" si="13"/>
        <v/>
      </c>
      <c r="AA198" s="101" t="str">
        <f t="shared" ca="1" si="14"/>
        <v/>
      </c>
    </row>
    <row r="199" spans="2:27" ht="27.6" customHeight="1">
      <c r="B199">
        <f t="shared" ref="B199:B262" ca="1" si="15">LEN(INDIRECT(ADDRESS(ROW() + (0),COLUMN() + (-1))))</f>
        <v>0</v>
      </c>
      <c r="C199" t="s">
        <v>36</v>
      </c>
      <c r="G199" s="75">
        <v>1</v>
      </c>
      <c r="J199" s="66" t="str">
        <f t="shared" ref="J199:J262" ca="1" si="16">IF(INDIRECT(ADDRESS(ROW() + (0),COLUMN() + (1)))="Agregar cuotas", IF(("14%")="", "-", "14%"), IF(INDIRECT(ADDRESS(ROW() + (0),COLUMN() + (1)))="No agregar cuotas", IF(("14%")="", "-", "14%"), "-"))</f>
        <v>14%</v>
      </c>
      <c r="K199" t="s">
        <v>59</v>
      </c>
      <c r="L199" s="66" t="str">
        <f t="shared" ref="L199:L262" ca="1" si="17">IF(INDIRECT(ADDRESS(ROW() + (0),COLUMN() + (-1)))="Agregar cuotas", IF(("13.9%")="", "Sin costo", "13.9%"), IF(INDIRECT(ADDRESS(ROW() + (0),COLUMN() + (-1)))="No agregar cuotas", IF(("")="", "Sin costo", ""), "-"))</f>
        <v>Sin costo</v>
      </c>
      <c r="M199" t="s">
        <v>64</v>
      </c>
      <c r="N199" t="s">
        <v>66</v>
      </c>
      <c r="O199" t="s">
        <v>66</v>
      </c>
      <c r="P199" t="s">
        <v>66</v>
      </c>
      <c r="R199" t="s">
        <v>66</v>
      </c>
      <c r="U199" t="s">
        <v>90</v>
      </c>
      <c r="V199" t="s">
        <v>66</v>
      </c>
      <c r="W199" t="s">
        <v>66</v>
      </c>
      <c r="X199" t="s">
        <v>66</v>
      </c>
      <c r="Y199" t="s">
        <v>66</v>
      </c>
      <c r="Z199" s="99" t="str">
        <f t="shared" ref="Z199:Z262" ca="1" si="1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199" s="101" t="str">
        <f t="shared" ref="AA199:AA262" ca="1" si="19">IF(TRIM(INDIRECT("A"&amp;ROW())) &lt;&gt; "",FALSE,"")</f>
        <v/>
      </c>
    </row>
    <row r="200" spans="2:27" ht="27.6" customHeight="1">
      <c r="B200">
        <f t="shared" ca="1" si="15"/>
        <v>0</v>
      </c>
      <c r="C200" t="s">
        <v>36</v>
      </c>
      <c r="G200" s="75">
        <v>1</v>
      </c>
      <c r="J200" s="66" t="str">
        <f t="shared" ca="1" si="16"/>
        <v>14%</v>
      </c>
      <c r="K200" t="s">
        <v>59</v>
      </c>
      <c r="L200" s="66" t="str">
        <f t="shared" ca="1" si="17"/>
        <v>Sin costo</v>
      </c>
      <c r="M200" t="s">
        <v>64</v>
      </c>
      <c r="N200" t="s">
        <v>66</v>
      </c>
      <c r="O200" t="s">
        <v>66</v>
      </c>
      <c r="P200" t="s">
        <v>66</v>
      </c>
      <c r="R200" t="s">
        <v>66</v>
      </c>
      <c r="U200" t="s">
        <v>90</v>
      </c>
      <c r="V200" t="s">
        <v>66</v>
      </c>
      <c r="W200" t="s">
        <v>66</v>
      </c>
      <c r="X200" t="s">
        <v>66</v>
      </c>
      <c r="Y200" t="s">
        <v>66</v>
      </c>
      <c r="Z200" s="99" t="str">
        <f t="shared" ca="1" si="18"/>
        <v/>
      </c>
      <c r="AA200" s="101" t="str">
        <f t="shared" ca="1" si="19"/>
        <v/>
      </c>
    </row>
    <row r="201" spans="2:27" ht="27.6" customHeight="1">
      <c r="B201">
        <f t="shared" ca="1" si="15"/>
        <v>0</v>
      </c>
      <c r="C201" t="s">
        <v>36</v>
      </c>
      <c r="G201" s="75">
        <v>1</v>
      </c>
      <c r="J201" s="66" t="str">
        <f t="shared" ca="1" si="16"/>
        <v>14%</v>
      </c>
      <c r="K201" t="s">
        <v>59</v>
      </c>
      <c r="L201" s="66" t="str">
        <f t="shared" ca="1" si="17"/>
        <v>Sin costo</v>
      </c>
      <c r="M201" t="s">
        <v>64</v>
      </c>
      <c r="N201" t="s">
        <v>66</v>
      </c>
      <c r="O201" t="s">
        <v>66</v>
      </c>
      <c r="P201" t="s">
        <v>66</v>
      </c>
      <c r="R201" t="s">
        <v>66</v>
      </c>
      <c r="U201" t="s">
        <v>90</v>
      </c>
      <c r="V201" t="s">
        <v>66</v>
      </c>
      <c r="W201" t="s">
        <v>66</v>
      </c>
      <c r="X201" t="s">
        <v>66</v>
      </c>
      <c r="Y201" t="s">
        <v>66</v>
      </c>
      <c r="Z201" s="99" t="str">
        <f t="shared" ca="1" si="18"/>
        <v/>
      </c>
      <c r="AA201" s="101" t="str">
        <f t="shared" ca="1" si="19"/>
        <v/>
      </c>
    </row>
    <row r="202" spans="2:27" ht="27.6" customHeight="1">
      <c r="B202">
        <f t="shared" ca="1" si="15"/>
        <v>0</v>
      </c>
      <c r="C202" t="s">
        <v>36</v>
      </c>
      <c r="G202" s="75">
        <v>1</v>
      </c>
      <c r="J202" s="66" t="str">
        <f t="shared" ca="1" si="16"/>
        <v>14%</v>
      </c>
      <c r="K202" t="s">
        <v>59</v>
      </c>
      <c r="L202" s="66" t="str">
        <f t="shared" ca="1" si="17"/>
        <v>Sin costo</v>
      </c>
      <c r="M202" t="s">
        <v>64</v>
      </c>
      <c r="N202" t="s">
        <v>66</v>
      </c>
      <c r="O202" t="s">
        <v>66</v>
      </c>
      <c r="P202" t="s">
        <v>66</v>
      </c>
      <c r="R202" t="s">
        <v>66</v>
      </c>
      <c r="U202" t="s">
        <v>90</v>
      </c>
      <c r="V202" t="s">
        <v>66</v>
      </c>
      <c r="W202" t="s">
        <v>66</v>
      </c>
      <c r="X202" t="s">
        <v>66</v>
      </c>
      <c r="Y202" t="s">
        <v>66</v>
      </c>
      <c r="Z202" s="99" t="str">
        <f t="shared" ca="1" si="18"/>
        <v/>
      </c>
      <c r="AA202" s="101" t="str">
        <f t="shared" ca="1" si="19"/>
        <v/>
      </c>
    </row>
    <row r="203" spans="2:27" ht="27.6" customHeight="1">
      <c r="B203">
        <f t="shared" ca="1" si="15"/>
        <v>0</v>
      </c>
      <c r="C203" t="s">
        <v>36</v>
      </c>
      <c r="G203" s="75">
        <v>1</v>
      </c>
      <c r="J203" s="66" t="str">
        <f t="shared" ca="1" si="16"/>
        <v>14%</v>
      </c>
      <c r="K203" t="s">
        <v>59</v>
      </c>
      <c r="L203" s="66" t="str">
        <f t="shared" ca="1" si="17"/>
        <v>Sin costo</v>
      </c>
      <c r="M203" t="s">
        <v>64</v>
      </c>
      <c r="N203" t="s">
        <v>66</v>
      </c>
      <c r="O203" t="s">
        <v>66</v>
      </c>
      <c r="P203" t="s">
        <v>66</v>
      </c>
      <c r="R203" t="s">
        <v>66</v>
      </c>
      <c r="U203" t="s">
        <v>90</v>
      </c>
      <c r="V203" t="s">
        <v>66</v>
      </c>
      <c r="W203" t="s">
        <v>66</v>
      </c>
      <c r="X203" t="s">
        <v>66</v>
      </c>
      <c r="Y203" t="s">
        <v>66</v>
      </c>
      <c r="Z203" s="99" t="str">
        <f t="shared" ca="1" si="18"/>
        <v/>
      </c>
      <c r="AA203" s="101" t="str">
        <f t="shared" ca="1" si="19"/>
        <v/>
      </c>
    </row>
    <row r="204" spans="2:27" ht="27.6" customHeight="1">
      <c r="B204">
        <f t="shared" ca="1" si="15"/>
        <v>0</v>
      </c>
      <c r="C204" t="s">
        <v>36</v>
      </c>
      <c r="G204" s="75">
        <v>1</v>
      </c>
      <c r="J204" s="66" t="str">
        <f t="shared" ca="1" si="16"/>
        <v>14%</v>
      </c>
      <c r="K204" t="s">
        <v>59</v>
      </c>
      <c r="L204" s="66" t="str">
        <f t="shared" ca="1" si="17"/>
        <v>Sin costo</v>
      </c>
      <c r="M204" t="s">
        <v>64</v>
      </c>
      <c r="N204" t="s">
        <v>66</v>
      </c>
      <c r="O204" t="s">
        <v>66</v>
      </c>
      <c r="P204" t="s">
        <v>66</v>
      </c>
      <c r="R204" t="s">
        <v>66</v>
      </c>
      <c r="U204" t="s">
        <v>90</v>
      </c>
      <c r="V204" t="s">
        <v>66</v>
      </c>
      <c r="W204" t="s">
        <v>66</v>
      </c>
      <c r="X204" t="s">
        <v>66</v>
      </c>
      <c r="Y204" t="s">
        <v>66</v>
      </c>
      <c r="Z204" s="99" t="str">
        <f t="shared" ca="1" si="18"/>
        <v/>
      </c>
      <c r="AA204" s="101" t="str">
        <f t="shared" ca="1" si="19"/>
        <v/>
      </c>
    </row>
    <row r="205" spans="2:27" ht="27.6" customHeight="1">
      <c r="B205">
        <f t="shared" ca="1" si="15"/>
        <v>0</v>
      </c>
      <c r="C205" t="s">
        <v>36</v>
      </c>
      <c r="G205" s="75">
        <v>1</v>
      </c>
      <c r="J205" s="66" t="str">
        <f t="shared" ca="1" si="16"/>
        <v>14%</v>
      </c>
      <c r="K205" t="s">
        <v>59</v>
      </c>
      <c r="L205" s="66" t="str">
        <f t="shared" ca="1" si="17"/>
        <v>Sin costo</v>
      </c>
      <c r="M205" t="s">
        <v>64</v>
      </c>
      <c r="N205" t="s">
        <v>66</v>
      </c>
      <c r="O205" t="s">
        <v>66</v>
      </c>
      <c r="P205" t="s">
        <v>66</v>
      </c>
      <c r="R205" t="s">
        <v>66</v>
      </c>
      <c r="U205" t="s">
        <v>90</v>
      </c>
      <c r="V205" t="s">
        <v>66</v>
      </c>
      <c r="W205" t="s">
        <v>66</v>
      </c>
      <c r="X205" t="s">
        <v>66</v>
      </c>
      <c r="Y205" t="s">
        <v>66</v>
      </c>
      <c r="Z205" s="99" t="str">
        <f t="shared" ca="1" si="18"/>
        <v/>
      </c>
      <c r="AA205" s="101" t="str">
        <f t="shared" ca="1" si="19"/>
        <v/>
      </c>
    </row>
    <row r="206" spans="2:27" ht="27.6" customHeight="1">
      <c r="B206">
        <f t="shared" ca="1" si="15"/>
        <v>0</v>
      </c>
      <c r="C206" t="s">
        <v>36</v>
      </c>
      <c r="G206" s="75">
        <v>1</v>
      </c>
      <c r="J206" s="66" t="str">
        <f t="shared" ca="1" si="16"/>
        <v>14%</v>
      </c>
      <c r="K206" t="s">
        <v>59</v>
      </c>
      <c r="L206" s="66" t="str">
        <f t="shared" ca="1" si="17"/>
        <v>Sin costo</v>
      </c>
      <c r="M206" t="s">
        <v>64</v>
      </c>
      <c r="N206" t="s">
        <v>66</v>
      </c>
      <c r="O206" t="s">
        <v>66</v>
      </c>
      <c r="P206" t="s">
        <v>66</v>
      </c>
      <c r="R206" t="s">
        <v>66</v>
      </c>
      <c r="U206" t="s">
        <v>90</v>
      </c>
      <c r="V206" t="s">
        <v>66</v>
      </c>
      <c r="W206" t="s">
        <v>66</v>
      </c>
      <c r="X206" t="s">
        <v>66</v>
      </c>
      <c r="Y206" t="s">
        <v>66</v>
      </c>
      <c r="Z206" s="99" t="str">
        <f t="shared" ca="1" si="18"/>
        <v/>
      </c>
      <c r="AA206" s="101" t="str">
        <f t="shared" ca="1" si="19"/>
        <v/>
      </c>
    </row>
    <row r="207" spans="2:27" ht="27.6" customHeight="1">
      <c r="B207">
        <f t="shared" ca="1" si="15"/>
        <v>0</v>
      </c>
      <c r="C207" t="s">
        <v>36</v>
      </c>
      <c r="G207" s="75">
        <v>1</v>
      </c>
      <c r="J207" s="66" t="str">
        <f t="shared" ca="1" si="16"/>
        <v>14%</v>
      </c>
      <c r="K207" t="s">
        <v>59</v>
      </c>
      <c r="L207" s="66" t="str">
        <f t="shared" ca="1" si="17"/>
        <v>Sin costo</v>
      </c>
      <c r="M207" t="s">
        <v>64</v>
      </c>
      <c r="N207" t="s">
        <v>66</v>
      </c>
      <c r="O207" t="s">
        <v>66</v>
      </c>
      <c r="P207" t="s">
        <v>66</v>
      </c>
      <c r="R207" t="s">
        <v>66</v>
      </c>
      <c r="U207" t="s">
        <v>90</v>
      </c>
      <c r="V207" t="s">
        <v>66</v>
      </c>
      <c r="W207" t="s">
        <v>66</v>
      </c>
      <c r="X207" t="s">
        <v>66</v>
      </c>
      <c r="Y207" t="s">
        <v>66</v>
      </c>
      <c r="Z207" s="99" t="str">
        <f t="shared" ca="1" si="18"/>
        <v/>
      </c>
      <c r="AA207" s="101" t="str">
        <f t="shared" ca="1" si="19"/>
        <v/>
      </c>
    </row>
    <row r="208" spans="2:27" ht="27.6" customHeight="1">
      <c r="B208">
        <f t="shared" ca="1" si="15"/>
        <v>0</v>
      </c>
      <c r="C208" t="s">
        <v>36</v>
      </c>
      <c r="G208" s="75">
        <v>1</v>
      </c>
      <c r="J208" s="66" t="str">
        <f t="shared" ca="1" si="16"/>
        <v>14%</v>
      </c>
      <c r="K208" t="s">
        <v>59</v>
      </c>
      <c r="L208" s="66" t="str">
        <f t="shared" ca="1" si="17"/>
        <v>Sin costo</v>
      </c>
      <c r="M208" t="s">
        <v>64</v>
      </c>
      <c r="N208" t="s">
        <v>66</v>
      </c>
      <c r="O208" t="s">
        <v>66</v>
      </c>
      <c r="P208" t="s">
        <v>66</v>
      </c>
      <c r="R208" t="s">
        <v>66</v>
      </c>
      <c r="U208" t="s">
        <v>90</v>
      </c>
      <c r="V208" t="s">
        <v>66</v>
      </c>
      <c r="W208" t="s">
        <v>66</v>
      </c>
      <c r="X208" t="s">
        <v>66</v>
      </c>
      <c r="Y208" t="s">
        <v>66</v>
      </c>
      <c r="Z208" s="99" t="str">
        <f t="shared" ca="1" si="18"/>
        <v/>
      </c>
      <c r="AA208" s="101" t="str">
        <f t="shared" ca="1" si="19"/>
        <v/>
      </c>
    </row>
    <row r="209" spans="2:27" ht="27.6" customHeight="1">
      <c r="B209">
        <f t="shared" ca="1" si="15"/>
        <v>0</v>
      </c>
      <c r="C209" t="s">
        <v>36</v>
      </c>
      <c r="G209" s="75">
        <v>1</v>
      </c>
      <c r="J209" s="66" t="str">
        <f t="shared" ca="1" si="16"/>
        <v>14%</v>
      </c>
      <c r="K209" t="s">
        <v>59</v>
      </c>
      <c r="L209" s="66" t="str">
        <f t="shared" ca="1" si="17"/>
        <v>Sin costo</v>
      </c>
      <c r="M209" t="s">
        <v>64</v>
      </c>
      <c r="N209" t="s">
        <v>66</v>
      </c>
      <c r="O209" t="s">
        <v>66</v>
      </c>
      <c r="P209" t="s">
        <v>66</v>
      </c>
      <c r="R209" t="s">
        <v>66</v>
      </c>
      <c r="U209" t="s">
        <v>90</v>
      </c>
      <c r="V209" t="s">
        <v>66</v>
      </c>
      <c r="W209" t="s">
        <v>66</v>
      </c>
      <c r="X209" t="s">
        <v>66</v>
      </c>
      <c r="Y209" t="s">
        <v>66</v>
      </c>
      <c r="Z209" s="99" t="str">
        <f t="shared" ca="1" si="18"/>
        <v/>
      </c>
      <c r="AA209" s="101" t="str">
        <f t="shared" ca="1" si="19"/>
        <v/>
      </c>
    </row>
    <row r="210" spans="2:27" ht="27.6" customHeight="1">
      <c r="B210">
        <f t="shared" ca="1" si="15"/>
        <v>0</v>
      </c>
      <c r="C210" t="s">
        <v>36</v>
      </c>
      <c r="G210" s="75">
        <v>1</v>
      </c>
      <c r="J210" s="66" t="str">
        <f t="shared" ca="1" si="16"/>
        <v>14%</v>
      </c>
      <c r="K210" t="s">
        <v>59</v>
      </c>
      <c r="L210" s="66" t="str">
        <f t="shared" ca="1" si="17"/>
        <v>Sin costo</v>
      </c>
      <c r="M210" t="s">
        <v>64</v>
      </c>
      <c r="N210" t="s">
        <v>66</v>
      </c>
      <c r="O210" t="s">
        <v>66</v>
      </c>
      <c r="P210" t="s">
        <v>66</v>
      </c>
      <c r="R210" t="s">
        <v>66</v>
      </c>
      <c r="U210" t="s">
        <v>90</v>
      </c>
      <c r="V210" t="s">
        <v>66</v>
      </c>
      <c r="W210" t="s">
        <v>66</v>
      </c>
      <c r="X210" t="s">
        <v>66</v>
      </c>
      <c r="Y210" t="s">
        <v>66</v>
      </c>
      <c r="Z210" s="99" t="str">
        <f t="shared" ca="1" si="18"/>
        <v/>
      </c>
      <c r="AA210" s="101" t="str">
        <f t="shared" ca="1" si="19"/>
        <v/>
      </c>
    </row>
    <row r="211" spans="2:27" ht="27.6" customHeight="1">
      <c r="B211">
        <f t="shared" ca="1" si="15"/>
        <v>0</v>
      </c>
      <c r="C211" t="s">
        <v>36</v>
      </c>
      <c r="G211" s="75">
        <v>1</v>
      </c>
      <c r="J211" s="66" t="str">
        <f t="shared" ca="1" si="16"/>
        <v>14%</v>
      </c>
      <c r="K211" t="s">
        <v>59</v>
      </c>
      <c r="L211" s="66" t="str">
        <f t="shared" ca="1" si="17"/>
        <v>Sin costo</v>
      </c>
      <c r="M211" t="s">
        <v>64</v>
      </c>
      <c r="N211" t="s">
        <v>66</v>
      </c>
      <c r="O211" t="s">
        <v>66</v>
      </c>
      <c r="P211" t="s">
        <v>66</v>
      </c>
      <c r="R211" t="s">
        <v>66</v>
      </c>
      <c r="U211" t="s">
        <v>90</v>
      </c>
      <c r="V211" t="s">
        <v>66</v>
      </c>
      <c r="W211" t="s">
        <v>66</v>
      </c>
      <c r="X211" t="s">
        <v>66</v>
      </c>
      <c r="Y211" t="s">
        <v>66</v>
      </c>
      <c r="Z211" s="99" t="str">
        <f t="shared" ca="1" si="18"/>
        <v/>
      </c>
      <c r="AA211" s="101" t="str">
        <f t="shared" ca="1" si="19"/>
        <v/>
      </c>
    </row>
    <row r="212" spans="2:27" ht="27.6" customHeight="1">
      <c r="B212">
        <f t="shared" ca="1" si="15"/>
        <v>0</v>
      </c>
      <c r="C212" t="s">
        <v>36</v>
      </c>
      <c r="G212" s="75">
        <v>1</v>
      </c>
      <c r="J212" s="66" t="str">
        <f t="shared" ca="1" si="16"/>
        <v>14%</v>
      </c>
      <c r="K212" t="s">
        <v>59</v>
      </c>
      <c r="L212" s="66" t="str">
        <f t="shared" ca="1" si="17"/>
        <v>Sin costo</v>
      </c>
      <c r="M212" t="s">
        <v>64</v>
      </c>
      <c r="N212" t="s">
        <v>66</v>
      </c>
      <c r="O212" t="s">
        <v>66</v>
      </c>
      <c r="P212" t="s">
        <v>66</v>
      </c>
      <c r="R212" t="s">
        <v>66</v>
      </c>
      <c r="U212" t="s">
        <v>90</v>
      </c>
      <c r="V212" t="s">
        <v>66</v>
      </c>
      <c r="W212" t="s">
        <v>66</v>
      </c>
      <c r="X212" t="s">
        <v>66</v>
      </c>
      <c r="Y212" t="s">
        <v>66</v>
      </c>
      <c r="Z212" s="99" t="str">
        <f t="shared" ca="1" si="18"/>
        <v/>
      </c>
      <c r="AA212" s="101" t="str">
        <f t="shared" ca="1" si="19"/>
        <v/>
      </c>
    </row>
    <row r="213" spans="2:27" ht="27.6" customHeight="1">
      <c r="B213">
        <f t="shared" ca="1" si="15"/>
        <v>0</v>
      </c>
      <c r="C213" t="s">
        <v>36</v>
      </c>
      <c r="G213" s="75">
        <v>1</v>
      </c>
      <c r="J213" s="66" t="str">
        <f t="shared" ca="1" si="16"/>
        <v>14%</v>
      </c>
      <c r="K213" t="s">
        <v>59</v>
      </c>
      <c r="L213" s="66" t="str">
        <f t="shared" ca="1" si="17"/>
        <v>Sin costo</v>
      </c>
      <c r="M213" t="s">
        <v>64</v>
      </c>
      <c r="N213" t="s">
        <v>66</v>
      </c>
      <c r="O213" t="s">
        <v>66</v>
      </c>
      <c r="P213" t="s">
        <v>66</v>
      </c>
      <c r="R213" t="s">
        <v>66</v>
      </c>
      <c r="U213" t="s">
        <v>90</v>
      </c>
      <c r="V213" t="s">
        <v>66</v>
      </c>
      <c r="W213" t="s">
        <v>66</v>
      </c>
      <c r="X213" t="s">
        <v>66</v>
      </c>
      <c r="Y213" t="s">
        <v>66</v>
      </c>
      <c r="Z213" s="99" t="str">
        <f t="shared" ca="1" si="18"/>
        <v/>
      </c>
      <c r="AA213" s="101" t="str">
        <f t="shared" ca="1" si="19"/>
        <v/>
      </c>
    </row>
    <row r="214" spans="2:27" ht="27.6" customHeight="1">
      <c r="B214">
        <f t="shared" ca="1" si="15"/>
        <v>0</v>
      </c>
      <c r="C214" t="s">
        <v>36</v>
      </c>
      <c r="G214" s="75">
        <v>1</v>
      </c>
      <c r="J214" s="66" t="str">
        <f t="shared" ca="1" si="16"/>
        <v>14%</v>
      </c>
      <c r="K214" t="s">
        <v>59</v>
      </c>
      <c r="L214" s="66" t="str">
        <f t="shared" ca="1" si="17"/>
        <v>Sin costo</v>
      </c>
      <c r="M214" t="s">
        <v>64</v>
      </c>
      <c r="N214" t="s">
        <v>66</v>
      </c>
      <c r="O214" t="s">
        <v>66</v>
      </c>
      <c r="P214" t="s">
        <v>66</v>
      </c>
      <c r="R214" t="s">
        <v>66</v>
      </c>
      <c r="U214" t="s">
        <v>90</v>
      </c>
      <c r="V214" t="s">
        <v>66</v>
      </c>
      <c r="W214" t="s">
        <v>66</v>
      </c>
      <c r="X214" t="s">
        <v>66</v>
      </c>
      <c r="Y214" t="s">
        <v>66</v>
      </c>
      <c r="Z214" s="99" t="str">
        <f t="shared" ca="1" si="18"/>
        <v/>
      </c>
      <c r="AA214" s="101" t="str">
        <f t="shared" ca="1" si="19"/>
        <v/>
      </c>
    </row>
    <row r="215" spans="2:27" ht="27.6" customHeight="1">
      <c r="B215">
        <f t="shared" ca="1" si="15"/>
        <v>0</v>
      </c>
      <c r="C215" t="s">
        <v>36</v>
      </c>
      <c r="G215" s="75">
        <v>1</v>
      </c>
      <c r="J215" s="66" t="str">
        <f t="shared" ca="1" si="16"/>
        <v>14%</v>
      </c>
      <c r="K215" t="s">
        <v>59</v>
      </c>
      <c r="L215" s="66" t="str">
        <f t="shared" ca="1" si="17"/>
        <v>Sin costo</v>
      </c>
      <c r="M215" t="s">
        <v>64</v>
      </c>
      <c r="N215" t="s">
        <v>66</v>
      </c>
      <c r="O215" t="s">
        <v>66</v>
      </c>
      <c r="P215" t="s">
        <v>66</v>
      </c>
      <c r="R215" t="s">
        <v>66</v>
      </c>
      <c r="U215" t="s">
        <v>90</v>
      </c>
      <c r="V215" t="s">
        <v>66</v>
      </c>
      <c r="W215" t="s">
        <v>66</v>
      </c>
      <c r="X215" t="s">
        <v>66</v>
      </c>
      <c r="Y215" t="s">
        <v>66</v>
      </c>
      <c r="Z215" s="99" t="str">
        <f t="shared" ca="1" si="18"/>
        <v/>
      </c>
      <c r="AA215" s="101" t="str">
        <f t="shared" ca="1" si="19"/>
        <v/>
      </c>
    </row>
    <row r="216" spans="2:27" ht="27.6" customHeight="1">
      <c r="B216">
        <f t="shared" ca="1" si="15"/>
        <v>0</v>
      </c>
      <c r="C216" t="s">
        <v>36</v>
      </c>
      <c r="G216" s="75">
        <v>1</v>
      </c>
      <c r="J216" s="66" t="str">
        <f t="shared" ca="1" si="16"/>
        <v>14%</v>
      </c>
      <c r="K216" t="s">
        <v>59</v>
      </c>
      <c r="L216" s="66" t="str">
        <f t="shared" ca="1" si="17"/>
        <v>Sin costo</v>
      </c>
      <c r="M216" t="s">
        <v>64</v>
      </c>
      <c r="N216" t="s">
        <v>66</v>
      </c>
      <c r="O216" t="s">
        <v>66</v>
      </c>
      <c r="P216" t="s">
        <v>66</v>
      </c>
      <c r="R216" t="s">
        <v>66</v>
      </c>
      <c r="U216" t="s">
        <v>90</v>
      </c>
      <c r="V216" t="s">
        <v>66</v>
      </c>
      <c r="W216" t="s">
        <v>66</v>
      </c>
      <c r="X216" t="s">
        <v>66</v>
      </c>
      <c r="Y216" t="s">
        <v>66</v>
      </c>
      <c r="Z216" s="99" t="str">
        <f t="shared" ca="1" si="18"/>
        <v/>
      </c>
      <c r="AA216" s="101" t="str">
        <f t="shared" ca="1" si="19"/>
        <v/>
      </c>
    </row>
    <row r="217" spans="2:27" ht="27.6" customHeight="1">
      <c r="B217">
        <f t="shared" ca="1" si="15"/>
        <v>0</v>
      </c>
      <c r="C217" t="s">
        <v>36</v>
      </c>
      <c r="G217" s="75">
        <v>1</v>
      </c>
      <c r="J217" s="66" t="str">
        <f t="shared" ca="1" si="16"/>
        <v>14%</v>
      </c>
      <c r="K217" t="s">
        <v>59</v>
      </c>
      <c r="L217" s="66" t="str">
        <f t="shared" ca="1" si="17"/>
        <v>Sin costo</v>
      </c>
      <c r="M217" t="s">
        <v>64</v>
      </c>
      <c r="N217" t="s">
        <v>66</v>
      </c>
      <c r="O217" t="s">
        <v>66</v>
      </c>
      <c r="P217" t="s">
        <v>66</v>
      </c>
      <c r="R217" t="s">
        <v>66</v>
      </c>
      <c r="U217" t="s">
        <v>90</v>
      </c>
      <c r="V217" t="s">
        <v>66</v>
      </c>
      <c r="W217" t="s">
        <v>66</v>
      </c>
      <c r="X217" t="s">
        <v>66</v>
      </c>
      <c r="Y217" t="s">
        <v>66</v>
      </c>
      <c r="Z217" s="99" t="str">
        <f t="shared" ca="1" si="18"/>
        <v/>
      </c>
      <c r="AA217" s="101" t="str">
        <f t="shared" ca="1" si="19"/>
        <v/>
      </c>
    </row>
    <row r="218" spans="2:27" ht="27.6" customHeight="1">
      <c r="B218">
        <f t="shared" ca="1" si="15"/>
        <v>0</v>
      </c>
      <c r="C218" t="s">
        <v>36</v>
      </c>
      <c r="G218" s="75">
        <v>1</v>
      </c>
      <c r="J218" s="66" t="str">
        <f t="shared" ca="1" si="16"/>
        <v>14%</v>
      </c>
      <c r="K218" t="s">
        <v>59</v>
      </c>
      <c r="L218" s="66" t="str">
        <f t="shared" ca="1" si="17"/>
        <v>Sin costo</v>
      </c>
      <c r="M218" t="s">
        <v>64</v>
      </c>
      <c r="N218" t="s">
        <v>66</v>
      </c>
      <c r="O218" t="s">
        <v>66</v>
      </c>
      <c r="P218" t="s">
        <v>66</v>
      </c>
      <c r="R218" t="s">
        <v>66</v>
      </c>
      <c r="U218" t="s">
        <v>90</v>
      </c>
      <c r="V218" t="s">
        <v>66</v>
      </c>
      <c r="W218" t="s">
        <v>66</v>
      </c>
      <c r="X218" t="s">
        <v>66</v>
      </c>
      <c r="Y218" t="s">
        <v>66</v>
      </c>
      <c r="Z218" s="99" t="str">
        <f t="shared" ca="1" si="18"/>
        <v/>
      </c>
      <c r="AA218" s="101" t="str">
        <f t="shared" ca="1" si="19"/>
        <v/>
      </c>
    </row>
    <row r="219" spans="2:27" ht="27.6" customHeight="1">
      <c r="B219">
        <f t="shared" ca="1" si="15"/>
        <v>0</v>
      </c>
      <c r="C219" t="s">
        <v>36</v>
      </c>
      <c r="G219" s="75">
        <v>1</v>
      </c>
      <c r="J219" s="66" t="str">
        <f t="shared" ca="1" si="16"/>
        <v>14%</v>
      </c>
      <c r="K219" t="s">
        <v>59</v>
      </c>
      <c r="L219" s="66" t="str">
        <f t="shared" ca="1" si="17"/>
        <v>Sin costo</v>
      </c>
      <c r="M219" t="s">
        <v>64</v>
      </c>
      <c r="N219" t="s">
        <v>66</v>
      </c>
      <c r="O219" t="s">
        <v>66</v>
      </c>
      <c r="P219" t="s">
        <v>66</v>
      </c>
      <c r="R219" t="s">
        <v>66</v>
      </c>
      <c r="U219" t="s">
        <v>90</v>
      </c>
      <c r="V219" t="s">
        <v>66</v>
      </c>
      <c r="W219" t="s">
        <v>66</v>
      </c>
      <c r="X219" t="s">
        <v>66</v>
      </c>
      <c r="Y219" t="s">
        <v>66</v>
      </c>
      <c r="Z219" s="99" t="str">
        <f t="shared" ca="1" si="18"/>
        <v/>
      </c>
      <c r="AA219" s="101" t="str">
        <f t="shared" ca="1" si="19"/>
        <v/>
      </c>
    </row>
    <row r="220" spans="2:27" ht="27.6" customHeight="1">
      <c r="B220">
        <f t="shared" ca="1" si="15"/>
        <v>0</v>
      </c>
      <c r="C220" t="s">
        <v>36</v>
      </c>
      <c r="G220" s="75">
        <v>1</v>
      </c>
      <c r="J220" s="66" t="str">
        <f t="shared" ca="1" si="16"/>
        <v>14%</v>
      </c>
      <c r="K220" t="s">
        <v>59</v>
      </c>
      <c r="L220" s="66" t="str">
        <f t="shared" ca="1" si="17"/>
        <v>Sin costo</v>
      </c>
      <c r="M220" t="s">
        <v>64</v>
      </c>
      <c r="N220" t="s">
        <v>66</v>
      </c>
      <c r="O220" t="s">
        <v>66</v>
      </c>
      <c r="P220" t="s">
        <v>66</v>
      </c>
      <c r="R220" t="s">
        <v>66</v>
      </c>
      <c r="U220" t="s">
        <v>90</v>
      </c>
      <c r="V220" t="s">
        <v>66</v>
      </c>
      <c r="W220" t="s">
        <v>66</v>
      </c>
      <c r="X220" t="s">
        <v>66</v>
      </c>
      <c r="Y220" t="s">
        <v>66</v>
      </c>
      <c r="Z220" s="99" t="str">
        <f t="shared" ca="1" si="18"/>
        <v/>
      </c>
      <c r="AA220" s="101" t="str">
        <f t="shared" ca="1" si="19"/>
        <v/>
      </c>
    </row>
    <row r="221" spans="2:27" ht="27.6" customHeight="1">
      <c r="B221">
        <f t="shared" ca="1" si="15"/>
        <v>0</v>
      </c>
      <c r="C221" t="s">
        <v>36</v>
      </c>
      <c r="G221" s="75">
        <v>1</v>
      </c>
      <c r="J221" s="66" t="str">
        <f t="shared" ca="1" si="16"/>
        <v>14%</v>
      </c>
      <c r="K221" t="s">
        <v>59</v>
      </c>
      <c r="L221" s="66" t="str">
        <f t="shared" ca="1" si="17"/>
        <v>Sin costo</v>
      </c>
      <c r="M221" t="s">
        <v>64</v>
      </c>
      <c r="N221" t="s">
        <v>66</v>
      </c>
      <c r="O221" t="s">
        <v>66</v>
      </c>
      <c r="P221" t="s">
        <v>66</v>
      </c>
      <c r="R221" t="s">
        <v>66</v>
      </c>
      <c r="U221" t="s">
        <v>90</v>
      </c>
      <c r="V221" t="s">
        <v>66</v>
      </c>
      <c r="W221" t="s">
        <v>66</v>
      </c>
      <c r="X221" t="s">
        <v>66</v>
      </c>
      <c r="Y221" t="s">
        <v>66</v>
      </c>
      <c r="Z221" s="99" t="str">
        <f t="shared" ca="1" si="18"/>
        <v/>
      </c>
      <c r="AA221" s="101" t="str">
        <f t="shared" ca="1" si="19"/>
        <v/>
      </c>
    </row>
    <row r="222" spans="2:27" ht="27.6" customHeight="1">
      <c r="B222">
        <f t="shared" ca="1" si="15"/>
        <v>0</v>
      </c>
      <c r="C222" t="s">
        <v>36</v>
      </c>
      <c r="G222" s="75">
        <v>1</v>
      </c>
      <c r="J222" s="66" t="str">
        <f t="shared" ca="1" si="16"/>
        <v>14%</v>
      </c>
      <c r="K222" t="s">
        <v>59</v>
      </c>
      <c r="L222" s="66" t="str">
        <f t="shared" ca="1" si="17"/>
        <v>Sin costo</v>
      </c>
      <c r="M222" t="s">
        <v>64</v>
      </c>
      <c r="N222" t="s">
        <v>66</v>
      </c>
      <c r="O222" t="s">
        <v>66</v>
      </c>
      <c r="P222" t="s">
        <v>66</v>
      </c>
      <c r="R222" t="s">
        <v>66</v>
      </c>
      <c r="U222" t="s">
        <v>90</v>
      </c>
      <c r="V222" t="s">
        <v>66</v>
      </c>
      <c r="W222" t="s">
        <v>66</v>
      </c>
      <c r="X222" t="s">
        <v>66</v>
      </c>
      <c r="Y222" t="s">
        <v>66</v>
      </c>
      <c r="Z222" s="99" t="str">
        <f t="shared" ca="1" si="18"/>
        <v/>
      </c>
      <c r="AA222" s="101" t="str">
        <f t="shared" ca="1" si="19"/>
        <v/>
      </c>
    </row>
    <row r="223" spans="2:27" ht="27.6" customHeight="1">
      <c r="B223">
        <f t="shared" ca="1" si="15"/>
        <v>0</v>
      </c>
      <c r="C223" t="s">
        <v>36</v>
      </c>
      <c r="G223" s="75">
        <v>1</v>
      </c>
      <c r="J223" s="66" t="str">
        <f t="shared" ca="1" si="16"/>
        <v>14%</v>
      </c>
      <c r="K223" t="s">
        <v>59</v>
      </c>
      <c r="L223" s="66" t="str">
        <f t="shared" ca="1" si="17"/>
        <v>Sin costo</v>
      </c>
      <c r="M223" t="s">
        <v>64</v>
      </c>
      <c r="N223" t="s">
        <v>66</v>
      </c>
      <c r="O223" t="s">
        <v>66</v>
      </c>
      <c r="P223" t="s">
        <v>66</v>
      </c>
      <c r="R223" t="s">
        <v>66</v>
      </c>
      <c r="U223" t="s">
        <v>90</v>
      </c>
      <c r="V223" t="s">
        <v>66</v>
      </c>
      <c r="W223" t="s">
        <v>66</v>
      </c>
      <c r="X223" t="s">
        <v>66</v>
      </c>
      <c r="Y223" t="s">
        <v>66</v>
      </c>
      <c r="Z223" s="99" t="str">
        <f t="shared" ca="1" si="18"/>
        <v/>
      </c>
      <c r="AA223" s="101" t="str">
        <f t="shared" ca="1" si="19"/>
        <v/>
      </c>
    </row>
    <row r="224" spans="2:27" ht="27.6" customHeight="1">
      <c r="B224">
        <f t="shared" ca="1" si="15"/>
        <v>0</v>
      </c>
      <c r="C224" t="s">
        <v>36</v>
      </c>
      <c r="G224" s="75">
        <v>1</v>
      </c>
      <c r="J224" s="66" t="str">
        <f t="shared" ca="1" si="16"/>
        <v>14%</v>
      </c>
      <c r="K224" t="s">
        <v>59</v>
      </c>
      <c r="L224" s="66" t="str">
        <f t="shared" ca="1" si="17"/>
        <v>Sin costo</v>
      </c>
      <c r="M224" t="s">
        <v>64</v>
      </c>
      <c r="N224" t="s">
        <v>66</v>
      </c>
      <c r="O224" t="s">
        <v>66</v>
      </c>
      <c r="P224" t="s">
        <v>66</v>
      </c>
      <c r="R224" t="s">
        <v>66</v>
      </c>
      <c r="U224" t="s">
        <v>90</v>
      </c>
      <c r="V224" t="s">
        <v>66</v>
      </c>
      <c r="W224" t="s">
        <v>66</v>
      </c>
      <c r="X224" t="s">
        <v>66</v>
      </c>
      <c r="Y224" t="s">
        <v>66</v>
      </c>
      <c r="Z224" s="99" t="str">
        <f t="shared" ca="1" si="18"/>
        <v/>
      </c>
      <c r="AA224" s="101" t="str">
        <f t="shared" ca="1" si="19"/>
        <v/>
      </c>
    </row>
    <row r="225" spans="2:27" ht="27.6" customHeight="1">
      <c r="B225">
        <f t="shared" ca="1" si="15"/>
        <v>0</v>
      </c>
      <c r="C225" t="s">
        <v>36</v>
      </c>
      <c r="G225" s="75">
        <v>1</v>
      </c>
      <c r="J225" s="66" t="str">
        <f t="shared" ca="1" si="16"/>
        <v>14%</v>
      </c>
      <c r="K225" t="s">
        <v>59</v>
      </c>
      <c r="L225" s="66" t="str">
        <f t="shared" ca="1" si="17"/>
        <v>Sin costo</v>
      </c>
      <c r="M225" t="s">
        <v>64</v>
      </c>
      <c r="N225" t="s">
        <v>66</v>
      </c>
      <c r="O225" t="s">
        <v>66</v>
      </c>
      <c r="P225" t="s">
        <v>66</v>
      </c>
      <c r="R225" t="s">
        <v>66</v>
      </c>
      <c r="U225" t="s">
        <v>90</v>
      </c>
      <c r="V225" t="s">
        <v>66</v>
      </c>
      <c r="W225" t="s">
        <v>66</v>
      </c>
      <c r="X225" t="s">
        <v>66</v>
      </c>
      <c r="Y225" t="s">
        <v>66</v>
      </c>
      <c r="Z225" s="99" t="str">
        <f t="shared" ca="1" si="18"/>
        <v/>
      </c>
      <c r="AA225" s="101" t="str">
        <f t="shared" ca="1" si="19"/>
        <v/>
      </c>
    </row>
    <row r="226" spans="2:27" ht="27.6" customHeight="1">
      <c r="B226">
        <f t="shared" ca="1" si="15"/>
        <v>0</v>
      </c>
      <c r="C226" t="s">
        <v>36</v>
      </c>
      <c r="G226" s="75">
        <v>1</v>
      </c>
      <c r="J226" s="66" t="str">
        <f t="shared" ca="1" si="16"/>
        <v>14%</v>
      </c>
      <c r="K226" t="s">
        <v>59</v>
      </c>
      <c r="L226" s="66" t="str">
        <f t="shared" ca="1" si="17"/>
        <v>Sin costo</v>
      </c>
      <c r="M226" t="s">
        <v>64</v>
      </c>
      <c r="N226" t="s">
        <v>66</v>
      </c>
      <c r="O226" t="s">
        <v>66</v>
      </c>
      <c r="P226" t="s">
        <v>66</v>
      </c>
      <c r="R226" t="s">
        <v>66</v>
      </c>
      <c r="U226" t="s">
        <v>90</v>
      </c>
      <c r="V226" t="s">
        <v>66</v>
      </c>
      <c r="W226" t="s">
        <v>66</v>
      </c>
      <c r="X226" t="s">
        <v>66</v>
      </c>
      <c r="Y226" t="s">
        <v>66</v>
      </c>
      <c r="Z226" s="99" t="str">
        <f t="shared" ca="1" si="18"/>
        <v/>
      </c>
      <c r="AA226" s="101" t="str">
        <f t="shared" ca="1" si="19"/>
        <v/>
      </c>
    </row>
    <row r="227" spans="2:27" ht="27.6" customHeight="1">
      <c r="B227">
        <f t="shared" ca="1" si="15"/>
        <v>0</v>
      </c>
      <c r="C227" t="s">
        <v>36</v>
      </c>
      <c r="G227" s="75">
        <v>1</v>
      </c>
      <c r="J227" s="66" t="str">
        <f t="shared" ca="1" si="16"/>
        <v>14%</v>
      </c>
      <c r="K227" t="s">
        <v>59</v>
      </c>
      <c r="L227" s="66" t="str">
        <f t="shared" ca="1" si="17"/>
        <v>Sin costo</v>
      </c>
      <c r="M227" t="s">
        <v>64</v>
      </c>
      <c r="N227" t="s">
        <v>66</v>
      </c>
      <c r="O227" t="s">
        <v>66</v>
      </c>
      <c r="P227" t="s">
        <v>66</v>
      </c>
      <c r="R227" t="s">
        <v>66</v>
      </c>
      <c r="U227" t="s">
        <v>90</v>
      </c>
      <c r="V227" t="s">
        <v>66</v>
      </c>
      <c r="W227" t="s">
        <v>66</v>
      </c>
      <c r="X227" t="s">
        <v>66</v>
      </c>
      <c r="Y227" t="s">
        <v>66</v>
      </c>
      <c r="Z227" s="99" t="str">
        <f t="shared" ca="1" si="18"/>
        <v/>
      </c>
      <c r="AA227" s="101" t="str">
        <f t="shared" ca="1" si="19"/>
        <v/>
      </c>
    </row>
    <row r="228" spans="2:27" ht="27.6" customHeight="1">
      <c r="B228">
        <f t="shared" ca="1" si="15"/>
        <v>0</v>
      </c>
      <c r="C228" t="s">
        <v>36</v>
      </c>
      <c r="G228" s="75">
        <v>1</v>
      </c>
      <c r="J228" s="66" t="str">
        <f t="shared" ca="1" si="16"/>
        <v>14%</v>
      </c>
      <c r="K228" t="s">
        <v>59</v>
      </c>
      <c r="L228" s="66" t="str">
        <f t="shared" ca="1" si="17"/>
        <v>Sin costo</v>
      </c>
      <c r="M228" t="s">
        <v>64</v>
      </c>
      <c r="N228" t="s">
        <v>66</v>
      </c>
      <c r="O228" t="s">
        <v>66</v>
      </c>
      <c r="P228" t="s">
        <v>66</v>
      </c>
      <c r="R228" t="s">
        <v>66</v>
      </c>
      <c r="U228" t="s">
        <v>90</v>
      </c>
      <c r="V228" t="s">
        <v>66</v>
      </c>
      <c r="W228" t="s">
        <v>66</v>
      </c>
      <c r="X228" t="s">
        <v>66</v>
      </c>
      <c r="Y228" t="s">
        <v>66</v>
      </c>
      <c r="Z228" s="99" t="str">
        <f t="shared" ca="1" si="18"/>
        <v/>
      </c>
      <c r="AA228" s="101" t="str">
        <f t="shared" ca="1" si="19"/>
        <v/>
      </c>
    </row>
    <row r="229" spans="2:27" ht="27.6" customHeight="1">
      <c r="B229">
        <f t="shared" ca="1" si="15"/>
        <v>0</v>
      </c>
      <c r="C229" t="s">
        <v>36</v>
      </c>
      <c r="G229" s="75">
        <v>1</v>
      </c>
      <c r="J229" s="66" t="str">
        <f t="shared" ca="1" si="16"/>
        <v>14%</v>
      </c>
      <c r="K229" t="s">
        <v>59</v>
      </c>
      <c r="L229" s="66" t="str">
        <f t="shared" ca="1" si="17"/>
        <v>Sin costo</v>
      </c>
      <c r="M229" t="s">
        <v>64</v>
      </c>
      <c r="N229" t="s">
        <v>66</v>
      </c>
      <c r="O229" t="s">
        <v>66</v>
      </c>
      <c r="P229" t="s">
        <v>66</v>
      </c>
      <c r="R229" t="s">
        <v>66</v>
      </c>
      <c r="U229" t="s">
        <v>90</v>
      </c>
      <c r="V229" t="s">
        <v>66</v>
      </c>
      <c r="W229" t="s">
        <v>66</v>
      </c>
      <c r="X229" t="s">
        <v>66</v>
      </c>
      <c r="Y229" t="s">
        <v>66</v>
      </c>
      <c r="Z229" s="99" t="str">
        <f t="shared" ca="1" si="18"/>
        <v/>
      </c>
      <c r="AA229" s="101" t="str">
        <f t="shared" ca="1" si="19"/>
        <v/>
      </c>
    </row>
    <row r="230" spans="2:27" ht="27.6" customHeight="1">
      <c r="B230">
        <f t="shared" ca="1" si="15"/>
        <v>0</v>
      </c>
      <c r="C230" t="s">
        <v>36</v>
      </c>
      <c r="G230" s="75">
        <v>1</v>
      </c>
      <c r="J230" s="66" t="str">
        <f t="shared" ca="1" si="16"/>
        <v>14%</v>
      </c>
      <c r="K230" t="s">
        <v>59</v>
      </c>
      <c r="L230" s="66" t="str">
        <f t="shared" ca="1" si="17"/>
        <v>Sin costo</v>
      </c>
      <c r="M230" t="s">
        <v>64</v>
      </c>
      <c r="N230" t="s">
        <v>66</v>
      </c>
      <c r="O230" t="s">
        <v>66</v>
      </c>
      <c r="P230" t="s">
        <v>66</v>
      </c>
      <c r="R230" t="s">
        <v>66</v>
      </c>
      <c r="U230" t="s">
        <v>90</v>
      </c>
      <c r="V230" t="s">
        <v>66</v>
      </c>
      <c r="W230" t="s">
        <v>66</v>
      </c>
      <c r="X230" t="s">
        <v>66</v>
      </c>
      <c r="Y230" t="s">
        <v>66</v>
      </c>
      <c r="Z230" s="99" t="str">
        <f t="shared" ca="1" si="18"/>
        <v/>
      </c>
      <c r="AA230" s="101" t="str">
        <f t="shared" ca="1" si="19"/>
        <v/>
      </c>
    </row>
    <row r="231" spans="2:27" ht="27.6" customHeight="1">
      <c r="B231">
        <f t="shared" ca="1" si="15"/>
        <v>0</v>
      </c>
      <c r="C231" t="s">
        <v>36</v>
      </c>
      <c r="G231" s="75">
        <v>1</v>
      </c>
      <c r="J231" s="66" t="str">
        <f t="shared" ca="1" si="16"/>
        <v>14%</v>
      </c>
      <c r="K231" t="s">
        <v>59</v>
      </c>
      <c r="L231" s="66" t="str">
        <f t="shared" ca="1" si="17"/>
        <v>Sin costo</v>
      </c>
      <c r="M231" t="s">
        <v>64</v>
      </c>
      <c r="N231" t="s">
        <v>66</v>
      </c>
      <c r="O231" t="s">
        <v>66</v>
      </c>
      <c r="P231" t="s">
        <v>66</v>
      </c>
      <c r="R231" t="s">
        <v>66</v>
      </c>
      <c r="U231" t="s">
        <v>90</v>
      </c>
      <c r="V231" t="s">
        <v>66</v>
      </c>
      <c r="W231" t="s">
        <v>66</v>
      </c>
      <c r="X231" t="s">
        <v>66</v>
      </c>
      <c r="Y231" t="s">
        <v>66</v>
      </c>
      <c r="Z231" s="99" t="str">
        <f t="shared" ca="1" si="18"/>
        <v/>
      </c>
      <c r="AA231" s="101" t="str">
        <f t="shared" ca="1" si="19"/>
        <v/>
      </c>
    </row>
    <row r="232" spans="2:27" ht="27.6" customHeight="1">
      <c r="B232">
        <f t="shared" ca="1" si="15"/>
        <v>0</v>
      </c>
      <c r="C232" t="s">
        <v>36</v>
      </c>
      <c r="G232" s="75">
        <v>1</v>
      </c>
      <c r="J232" s="66" t="str">
        <f t="shared" ca="1" si="16"/>
        <v>14%</v>
      </c>
      <c r="K232" t="s">
        <v>59</v>
      </c>
      <c r="L232" s="66" t="str">
        <f t="shared" ca="1" si="17"/>
        <v>Sin costo</v>
      </c>
      <c r="M232" t="s">
        <v>64</v>
      </c>
      <c r="N232" t="s">
        <v>66</v>
      </c>
      <c r="O232" t="s">
        <v>66</v>
      </c>
      <c r="P232" t="s">
        <v>66</v>
      </c>
      <c r="R232" t="s">
        <v>66</v>
      </c>
      <c r="U232" t="s">
        <v>90</v>
      </c>
      <c r="V232" t="s">
        <v>66</v>
      </c>
      <c r="W232" t="s">
        <v>66</v>
      </c>
      <c r="X232" t="s">
        <v>66</v>
      </c>
      <c r="Y232" t="s">
        <v>66</v>
      </c>
      <c r="Z232" s="99" t="str">
        <f t="shared" ca="1" si="18"/>
        <v/>
      </c>
      <c r="AA232" s="101" t="str">
        <f t="shared" ca="1" si="19"/>
        <v/>
      </c>
    </row>
    <row r="233" spans="2:27" ht="27.6" customHeight="1">
      <c r="B233">
        <f t="shared" ca="1" si="15"/>
        <v>0</v>
      </c>
      <c r="C233" t="s">
        <v>36</v>
      </c>
      <c r="G233" s="75">
        <v>1</v>
      </c>
      <c r="J233" s="66" t="str">
        <f t="shared" ca="1" si="16"/>
        <v>14%</v>
      </c>
      <c r="K233" t="s">
        <v>59</v>
      </c>
      <c r="L233" s="66" t="str">
        <f t="shared" ca="1" si="17"/>
        <v>Sin costo</v>
      </c>
      <c r="M233" t="s">
        <v>64</v>
      </c>
      <c r="N233" t="s">
        <v>66</v>
      </c>
      <c r="O233" t="s">
        <v>66</v>
      </c>
      <c r="P233" t="s">
        <v>66</v>
      </c>
      <c r="R233" t="s">
        <v>66</v>
      </c>
      <c r="U233" t="s">
        <v>90</v>
      </c>
      <c r="V233" t="s">
        <v>66</v>
      </c>
      <c r="W233" t="s">
        <v>66</v>
      </c>
      <c r="X233" t="s">
        <v>66</v>
      </c>
      <c r="Y233" t="s">
        <v>66</v>
      </c>
      <c r="Z233" s="99" t="str">
        <f t="shared" ca="1" si="18"/>
        <v/>
      </c>
      <c r="AA233" s="101" t="str">
        <f t="shared" ca="1" si="19"/>
        <v/>
      </c>
    </row>
    <row r="234" spans="2:27" ht="27.6" customHeight="1">
      <c r="B234">
        <f t="shared" ca="1" si="15"/>
        <v>0</v>
      </c>
      <c r="C234" t="s">
        <v>36</v>
      </c>
      <c r="G234" s="75">
        <v>1</v>
      </c>
      <c r="J234" s="66" t="str">
        <f t="shared" ca="1" si="16"/>
        <v>14%</v>
      </c>
      <c r="K234" t="s">
        <v>59</v>
      </c>
      <c r="L234" s="66" t="str">
        <f t="shared" ca="1" si="17"/>
        <v>Sin costo</v>
      </c>
      <c r="M234" t="s">
        <v>64</v>
      </c>
      <c r="N234" t="s">
        <v>66</v>
      </c>
      <c r="O234" t="s">
        <v>66</v>
      </c>
      <c r="P234" t="s">
        <v>66</v>
      </c>
      <c r="R234" t="s">
        <v>66</v>
      </c>
      <c r="U234" t="s">
        <v>90</v>
      </c>
      <c r="V234" t="s">
        <v>66</v>
      </c>
      <c r="W234" t="s">
        <v>66</v>
      </c>
      <c r="X234" t="s">
        <v>66</v>
      </c>
      <c r="Y234" t="s">
        <v>66</v>
      </c>
      <c r="Z234" s="99" t="str">
        <f t="shared" ca="1" si="18"/>
        <v/>
      </c>
      <c r="AA234" s="101" t="str">
        <f t="shared" ca="1" si="19"/>
        <v/>
      </c>
    </row>
    <row r="235" spans="2:27" ht="27.6" customHeight="1">
      <c r="B235">
        <f t="shared" ca="1" si="15"/>
        <v>0</v>
      </c>
      <c r="C235" t="s">
        <v>36</v>
      </c>
      <c r="G235" s="75">
        <v>1</v>
      </c>
      <c r="J235" s="66" t="str">
        <f t="shared" ca="1" si="16"/>
        <v>14%</v>
      </c>
      <c r="K235" t="s">
        <v>59</v>
      </c>
      <c r="L235" s="66" t="str">
        <f t="shared" ca="1" si="17"/>
        <v>Sin costo</v>
      </c>
      <c r="M235" t="s">
        <v>64</v>
      </c>
      <c r="N235" t="s">
        <v>66</v>
      </c>
      <c r="O235" t="s">
        <v>66</v>
      </c>
      <c r="P235" t="s">
        <v>66</v>
      </c>
      <c r="R235" t="s">
        <v>66</v>
      </c>
      <c r="U235" t="s">
        <v>90</v>
      </c>
      <c r="V235" t="s">
        <v>66</v>
      </c>
      <c r="W235" t="s">
        <v>66</v>
      </c>
      <c r="X235" t="s">
        <v>66</v>
      </c>
      <c r="Y235" t="s">
        <v>66</v>
      </c>
      <c r="Z235" s="99" t="str">
        <f t="shared" ca="1" si="18"/>
        <v/>
      </c>
      <c r="AA235" s="101" t="str">
        <f t="shared" ca="1" si="19"/>
        <v/>
      </c>
    </row>
    <row r="236" spans="2:27" ht="27.6" customHeight="1">
      <c r="B236">
        <f t="shared" ca="1" si="15"/>
        <v>0</v>
      </c>
      <c r="C236" t="s">
        <v>36</v>
      </c>
      <c r="G236" s="75">
        <v>1</v>
      </c>
      <c r="J236" s="66" t="str">
        <f t="shared" ca="1" si="16"/>
        <v>14%</v>
      </c>
      <c r="K236" t="s">
        <v>59</v>
      </c>
      <c r="L236" s="66" t="str">
        <f t="shared" ca="1" si="17"/>
        <v>Sin costo</v>
      </c>
      <c r="M236" t="s">
        <v>64</v>
      </c>
      <c r="N236" t="s">
        <v>66</v>
      </c>
      <c r="O236" t="s">
        <v>66</v>
      </c>
      <c r="P236" t="s">
        <v>66</v>
      </c>
      <c r="R236" t="s">
        <v>66</v>
      </c>
      <c r="U236" t="s">
        <v>90</v>
      </c>
      <c r="V236" t="s">
        <v>66</v>
      </c>
      <c r="W236" t="s">
        <v>66</v>
      </c>
      <c r="X236" t="s">
        <v>66</v>
      </c>
      <c r="Y236" t="s">
        <v>66</v>
      </c>
      <c r="Z236" s="99" t="str">
        <f t="shared" ca="1" si="18"/>
        <v/>
      </c>
      <c r="AA236" s="101" t="str">
        <f t="shared" ca="1" si="19"/>
        <v/>
      </c>
    </row>
    <row r="237" spans="2:27" ht="27.6" customHeight="1">
      <c r="B237">
        <f t="shared" ca="1" si="15"/>
        <v>0</v>
      </c>
      <c r="C237" t="s">
        <v>36</v>
      </c>
      <c r="G237" s="75">
        <v>1</v>
      </c>
      <c r="J237" s="66" t="str">
        <f t="shared" ca="1" si="16"/>
        <v>14%</v>
      </c>
      <c r="K237" t="s">
        <v>59</v>
      </c>
      <c r="L237" s="66" t="str">
        <f t="shared" ca="1" si="17"/>
        <v>Sin costo</v>
      </c>
      <c r="M237" t="s">
        <v>64</v>
      </c>
      <c r="N237" t="s">
        <v>66</v>
      </c>
      <c r="O237" t="s">
        <v>66</v>
      </c>
      <c r="P237" t="s">
        <v>66</v>
      </c>
      <c r="R237" t="s">
        <v>66</v>
      </c>
      <c r="U237" t="s">
        <v>90</v>
      </c>
      <c r="V237" t="s">
        <v>66</v>
      </c>
      <c r="W237" t="s">
        <v>66</v>
      </c>
      <c r="X237" t="s">
        <v>66</v>
      </c>
      <c r="Y237" t="s">
        <v>66</v>
      </c>
      <c r="Z237" s="99" t="str">
        <f t="shared" ca="1" si="18"/>
        <v/>
      </c>
      <c r="AA237" s="101" t="str">
        <f t="shared" ca="1" si="19"/>
        <v/>
      </c>
    </row>
    <row r="238" spans="2:27" ht="27.6" customHeight="1">
      <c r="B238">
        <f t="shared" ca="1" si="15"/>
        <v>0</v>
      </c>
      <c r="C238" t="s">
        <v>36</v>
      </c>
      <c r="G238" s="75">
        <v>1</v>
      </c>
      <c r="J238" s="66" t="str">
        <f t="shared" ca="1" si="16"/>
        <v>14%</v>
      </c>
      <c r="K238" t="s">
        <v>59</v>
      </c>
      <c r="L238" s="66" t="str">
        <f t="shared" ca="1" si="17"/>
        <v>Sin costo</v>
      </c>
      <c r="M238" t="s">
        <v>64</v>
      </c>
      <c r="N238" t="s">
        <v>66</v>
      </c>
      <c r="O238" t="s">
        <v>66</v>
      </c>
      <c r="P238" t="s">
        <v>66</v>
      </c>
      <c r="R238" t="s">
        <v>66</v>
      </c>
      <c r="U238" t="s">
        <v>90</v>
      </c>
      <c r="V238" t="s">
        <v>66</v>
      </c>
      <c r="W238" t="s">
        <v>66</v>
      </c>
      <c r="X238" t="s">
        <v>66</v>
      </c>
      <c r="Y238" t="s">
        <v>66</v>
      </c>
      <c r="Z238" s="99" t="str">
        <f t="shared" ca="1" si="18"/>
        <v/>
      </c>
      <c r="AA238" s="101" t="str">
        <f t="shared" ca="1" si="19"/>
        <v/>
      </c>
    </row>
    <row r="239" spans="2:27" ht="27.6" customHeight="1">
      <c r="B239">
        <f t="shared" ca="1" si="15"/>
        <v>0</v>
      </c>
      <c r="C239" t="s">
        <v>36</v>
      </c>
      <c r="G239" s="75">
        <v>1</v>
      </c>
      <c r="J239" s="66" t="str">
        <f t="shared" ca="1" si="16"/>
        <v>14%</v>
      </c>
      <c r="K239" t="s">
        <v>59</v>
      </c>
      <c r="L239" s="66" t="str">
        <f t="shared" ca="1" si="17"/>
        <v>Sin costo</v>
      </c>
      <c r="M239" t="s">
        <v>64</v>
      </c>
      <c r="N239" t="s">
        <v>66</v>
      </c>
      <c r="O239" t="s">
        <v>66</v>
      </c>
      <c r="P239" t="s">
        <v>66</v>
      </c>
      <c r="R239" t="s">
        <v>66</v>
      </c>
      <c r="U239" t="s">
        <v>90</v>
      </c>
      <c r="V239" t="s">
        <v>66</v>
      </c>
      <c r="W239" t="s">
        <v>66</v>
      </c>
      <c r="X239" t="s">
        <v>66</v>
      </c>
      <c r="Y239" t="s">
        <v>66</v>
      </c>
      <c r="Z239" s="99" t="str">
        <f t="shared" ca="1" si="18"/>
        <v/>
      </c>
      <c r="AA239" s="101" t="str">
        <f t="shared" ca="1" si="19"/>
        <v/>
      </c>
    </row>
    <row r="240" spans="2:27" ht="27.6" customHeight="1">
      <c r="B240">
        <f t="shared" ca="1" si="15"/>
        <v>0</v>
      </c>
      <c r="C240" t="s">
        <v>36</v>
      </c>
      <c r="G240" s="75">
        <v>1</v>
      </c>
      <c r="J240" s="66" t="str">
        <f t="shared" ca="1" si="16"/>
        <v>14%</v>
      </c>
      <c r="K240" t="s">
        <v>59</v>
      </c>
      <c r="L240" s="66" t="str">
        <f t="shared" ca="1" si="17"/>
        <v>Sin costo</v>
      </c>
      <c r="M240" t="s">
        <v>64</v>
      </c>
      <c r="N240" t="s">
        <v>66</v>
      </c>
      <c r="O240" t="s">
        <v>66</v>
      </c>
      <c r="P240" t="s">
        <v>66</v>
      </c>
      <c r="R240" t="s">
        <v>66</v>
      </c>
      <c r="U240" t="s">
        <v>90</v>
      </c>
      <c r="V240" t="s">
        <v>66</v>
      </c>
      <c r="W240" t="s">
        <v>66</v>
      </c>
      <c r="X240" t="s">
        <v>66</v>
      </c>
      <c r="Y240" t="s">
        <v>66</v>
      </c>
      <c r="Z240" s="99" t="str">
        <f t="shared" ca="1" si="18"/>
        <v/>
      </c>
      <c r="AA240" s="101" t="str">
        <f t="shared" ca="1" si="19"/>
        <v/>
      </c>
    </row>
    <row r="241" spans="2:27" ht="27.6" customHeight="1">
      <c r="B241">
        <f t="shared" ca="1" si="15"/>
        <v>0</v>
      </c>
      <c r="C241" t="s">
        <v>36</v>
      </c>
      <c r="G241" s="75">
        <v>1</v>
      </c>
      <c r="J241" s="66" t="str">
        <f t="shared" ca="1" si="16"/>
        <v>14%</v>
      </c>
      <c r="K241" t="s">
        <v>59</v>
      </c>
      <c r="L241" s="66" t="str">
        <f t="shared" ca="1" si="17"/>
        <v>Sin costo</v>
      </c>
      <c r="M241" t="s">
        <v>64</v>
      </c>
      <c r="N241" t="s">
        <v>66</v>
      </c>
      <c r="O241" t="s">
        <v>66</v>
      </c>
      <c r="P241" t="s">
        <v>66</v>
      </c>
      <c r="R241" t="s">
        <v>66</v>
      </c>
      <c r="U241" t="s">
        <v>90</v>
      </c>
      <c r="V241" t="s">
        <v>66</v>
      </c>
      <c r="W241" t="s">
        <v>66</v>
      </c>
      <c r="X241" t="s">
        <v>66</v>
      </c>
      <c r="Y241" t="s">
        <v>66</v>
      </c>
      <c r="Z241" s="99" t="str">
        <f t="shared" ca="1" si="18"/>
        <v/>
      </c>
      <c r="AA241" s="101" t="str">
        <f t="shared" ca="1" si="19"/>
        <v/>
      </c>
    </row>
    <row r="242" spans="2:27" ht="27.6" customHeight="1">
      <c r="B242">
        <f t="shared" ca="1" si="15"/>
        <v>0</v>
      </c>
      <c r="C242" t="s">
        <v>36</v>
      </c>
      <c r="G242" s="75">
        <v>1</v>
      </c>
      <c r="J242" s="66" t="str">
        <f t="shared" ca="1" si="16"/>
        <v>14%</v>
      </c>
      <c r="K242" t="s">
        <v>59</v>
      </c>
      <c r="L242" s="66" t="str">
        <f t="shared" ca="1" si="17"/>
        <v>Sin costo</v>
      </c>
      <c r="M242" t="s">
        <v>64</v>
      </c>
      <c r="N242" t="s">
        <v>66</v>
      </c>
      <c r="O242" t="s">
        <v>66</v>
      </c>
      <c r="P242" t="s">
        <v>66</v>
      </c>
      <c r="R242" t="s">
        <v>66</v>
      </c>
      <c r="U242" t="s">
        <v>90</v>
      </c>
      <c r="V242" t="s">
        <v>66</v>
      </c>
      <c r="W242" t="s">
        <v>66</v>
      </c>
      <c r="X242" t="s">
        <v>66</v>
      </c>
      <c r="Y242" t="s">
        <v>66</v>
      </c>
      <c r="Z242" s="99" t="str">
        <f t="shared" ca="1" si="18"/>
        <v/>
      </c>
      <c r="AA242" s="101" t="str">
        <f t="shared" ca="1" si="19"/>
        <v/>
      </c>
    </row>
    <row r="243" spans="2:27" ht="27.6" customHeight="1">
      <c r="B243">
        <f t="shared" ca="1" si="15"/>
        <v>0</v>
      </c>
      <c r="C243" t="s">
        <v>36</v>
      </c>
      <c r="G243" s="75">
        <v>1</v>
      </c>
      <c r="J243" s="66" t="str">
        <f t="shared" ca="1" si="16"/>
        <v>14%</v>
      </c>
      <c r="K243" t="s">
        <v>59</v>
      </c>
      <c r="L243" s="66" t="str">
        <f t="shared" ca="1" si="17"/>
        <v>Sin costo</v>
      </c>
      <c r="M243" t="s">
        <v>64</v>
      </c>
      <c r="N243" t="s">
        <v>66</v>
      </c>
      <c r="O243" t="s">
        <v>66</v>
      </c>
      <c r="P243" t="s">
        <v>66</v>
      </c>
      <c r="R243" t="s">
        <v>66</v>
      </c>
      <c r="U243" t="s">
        <v>90</v>
      </c>
      <c r="V243" t="s">
        <v>66</v>
      </c>
      <c r="W243" t="s">
        <v>66</v>
      </c>
      <c r="X243" t="s">
        <v>66</v>
      </c>
      <c r="Y243" t="s">
        <v>66</v>
      </c>
      <c r="Z243" s="99" t="str">
        <f t="shared" ca="1" si="18"/>
        <v/>
      </c>
      <c r="AA243" s="101" t="str">
        <f t="shared" ca="1" si="19"/>
        <v/>
      </c>
    </row>
    <row r="244" spans="2:27" ht="27.6" customHeight="1">
      <c r="B244">
        <f t="shared" ca="1" si="15"/>
        <v>0</v>
      </c>
      <c r="C244" t="s">
        <v>36</v>
      </c>
      <c r="G244" s="75">
        <v>1</v>
      </c>
      <c r="J244" s="66" t="str">
        <f t="shared" ca="1" si="16"/>
        <v>14%</v>
      </c>
      <c r="K244" t="s">
        <v>59</v>
      </c>
      <c r="L244" s="66" t="str">
        <f t="shared" ca="1" si="17"/>
        <v>Sin costo</v>
      </c>
      <c r="M244" t="s">
        <v>64</v>
      </c>
      <c r="N244" t="s">
        <v>66</v>
      </c>
      <c r="O244" t="s">
        <v>66</v>
      </c>
      <c r="P244" t="s">
        <v>66</v>
      </c>
      <c r="R244" t="s">
        <v>66</v>
      </c>
      <c r="U244" t="s">
        <v>90</v>
      </c>
      <c r="V244" t="s">
        <v>66</v>
      </c>
      <c r="W244" t="s">
        <v>66</v>
      </c>
      <c r="X244" t="s">
        <v>66</v>
      </c>
      <c r="Y244" t="s">
        <v>66</v>
      </c>
      <c r="Z244" s="99" t="str">
        <f t="shared" ca="1" si="18"/>
        <v/>
      </c>
      <c r="AA244" s="101" t="str">
        <f t="shared" ca="1" si="19"/>
        <v/>
      </c>
    </row>
    <row r="245" spans="2:27" ht="27.6" customHeight="1">
      <c r="B245">
        <f t="shared" ca="1" si="15"/>
        <v>0</v>
      </c>
      <c r="C245" t="s">
        <v>36</v>
      </c>
      <c r="G245" s="75">
        <v>1</v>
      </c>
      <c r="J245" s="66" t="str">
        <f t="shared" ca="1" si="16"/>
        <v>14%</v>
      </c>
      <c r="K245" t="s">
        <v>59</v>
      </c>
      <c r="L245" s="66" t="str">
        <f t="shared" ca="1" si="17"/>
        <v>Sin costo</v>
      </c>
      <c r="M245" t="s">
        <v>64</v>
      </c>
      <c r="N245" t="s">
        <v>66</v>
      </c>
      <c r="O245" t="s">
        <v>66</v>
      </c>
      <c r="P245" t="s">
        <v>66</v>
      </c>
      <c r="R245" t="s">
        <v>66</v>
      </c>
      <c r="U245" t="s">
        <v>90</v>
      </c>
      <c r="V245" t="s">
        <v>66</v>
      </c>
      <c r="W245" t="s">
        <v>66</v>
      </c>
      <c r="X245" t="s">
        <v>66</v>
      </c>
      <c r="Y245" t="s">
        <v>66</v>
      </c>
      <c r="Z245" s="99" t="str">
        <f t="shared" ca="1" si="18"/>
        <v/>
      </c>
      <c r="AA245" s="101" t="str">
        <f t="shared" ca="1" si="19"/>
        <v/>
      </c>
    </row>
    <row r="246" spans="2:27" ht="27.6" customHeight="1">
      <c r="B246">
        <f t="shared" ca="1" si="15"/>
        <v>0</v>
      </c>
      <c r="C246" t="s">
        <v>36</v>
      </c>
      <c r="G246" s="75">
        <v>1</v>
      </c>
      <c r="J246" s="66" t="str">
        <f t="shared" ca="1" si="16"/>
        <v>14%</v>
      </c>
      <c r="K246" t="s">
        <v>59</v>
      </c>
      <c r="L246" s="66" t="str">
        <f t="shared" ca="1" si="17"/>
        <v>Sin costo</v>
      </c>
      <c r="M246" t="s">
        <v>64</v>
      </c>
      <c r="N246" t="s">
        <v>66</v>
      </c>
      <c r="O246" t="s">
        <v>66</v>
      </c>
      <c r="P246" t="s">
        <v>66</v>
      </c>
      <c r="R246" t="s">
        <v>66</v>
      </c>
      <c r="U246" t="s">
        <v>90</v>
      </c>
      <c r="V246" t="s">
        <v>66</v>
      </c>
      <c r="W246" t="s">
        <v>66</v>
      </c>
      <c r="X246" t="s">
        <v>66</v>
      </c>
      <c r="Y246" t="s">
        <v>66</v>
      </c>
      <c r="Z246" s="99" t="str">
        <f t="shared" ca="1" si="18"/>
        <v/>
      </c>
      <c r="AA246" s="101" t="str">
        <f t="shared" ca="1" si="19"/>
        <v/>
      </c>
    </row>
    <row r="247" spans="2:27" ht="27.6" customHeight="1">
      <c r="B247">
        <f t="shared" ca="1" si="15"/>
        <v>0</v>
      </c>
      <c r="C247" t="s">
        <v>36</v>
      </c>
      <c r="G247" s="75">
        <v>1</v>
      </c>
      <c r="J247" s="66" t="str">
        <f t="shared" ca="1" si="16"/>
        <v>14%</v>
      </c>
      <c r="K247" t="s">
        <v>59</v>
      </c>
      <c r="L247" s="66" t="str">
        <f t="shared" ca="1" si="17"/>
        <v>Sin costo</v>
      </c>
      <c r="M247" t="s">
        <v>64</v>
      </c>
      <c r="N247" t="s">
        <v>66</v>
      </c>
      <c r="O247" t="s">
        <v>66</v>
      </c>
      <c r="P247" t="s">
        <v>66</v>
      </c>
      <c r="R247" t="s">
        <v>66</v>
      </c>
      <c r="U247" t="s">
        <v>90</v>
      </c>
      <c r="V247" t="s">
        <v>66</v>
      </c>
      <c r="W247" t="s">
        <v>66</v>
      </c>
      <c r="X247" t="s">
        <v>66</v>
      </c>
      <c r="Y247" t="s">
        <v>66</v>
      </c>
      <c r="Z247" s="99" t="str">
        <f t="shared" ca="1" si="18"/>
        <v/>
      </c>
      <c r="AA247" s="101" t="str">
        <f t="shared" ca="1" si="19"/>
        <v/>
      </c>
    </row>
    <row r="248" spans="2:27" ht="27.6" customHeight="1">
      <c r="B248">
        <f t="shared" ca="1" si="15"/>
        <v>0</v>
      </c>
      <c r="C248" t="s">
        <v>36</v>
      </c>
      <c r="G248" s="75">
        <v>1</v>
      </c>
      <c r="J248" s="66" t="str">
        <f t="shared" ca="1" si="16"/>
        <v>14%</v>
      </c>
      <c r="K248" t="s">
        <v>59</v>
      </c>
      <c r="L248" s="66" t="str">
        <f t="shared" ca="1" si="17"/>
        <v>Sin costo</v>
      </c>
      <c r="M248" t="s">
        <v>64</v>
      </c>
      <c r="N248" t="s">
        <v>66</v>
      </c>
      <c r="O248" t="s">
        <v>66</v>
      </c>
      <c r="P248" t="s">
        <v>66</v>
      </c>
      <c r="R248" t="s">
        <v>66</v>
      </c>
      <c r="U248" t="s">
        <v>90</v>
      </c>
      <c r="V248" t="s">
        <v>66</v>
      </c>
      <c r="W248" t="s">
        <v>66</v>
      </c>
      <c r="X248" t="s">
        <v>66</v>
      </c>
      <c r="Y248" t="s">
        <v>66</v>
      </c>
      <c r="Z248" s="99" t="str">
        <f t="shared" ca="1" si="18"/>
        <v/>
      </c>
      <c r="AA248" s="101" t="str">
        <f t="shared" ca="1" si="19"/>
        <v/>
      </c>
    </row>
    <row r="249" spans="2:27" ht="27.6" customHeight="1">
      <c r="B249">
        <f t="shared" ca="1" si="15"/>
        <v>0</v>
      </c>
      <c r="C249" t="s">
        <v>36</v>
      </c>
      <c r="G249" s="75">
        <v>1</v>
      </c>
      <c r="J249" s="66" t="str">
        <f t="shared" ca="1" si="16"/>
        <v>14%</v>
      </c>
      <c r="K249" t="s">
        <v>59</v>
      </c>
      <c r="L249" s="66" t="str">
        <f t="shared" ca="1" si="17"/>
        <v>Sin costo</v>
      </c>
      <c r="M249" t="s">
        <v>64</v>
      </c>
      <c r="N249" t="s">
        <v>66</v>
      </c>
      <c r="O249" t="s">
        <v>66</v>
      </c>
      <c r="P249" t="s">
        <v>66</v>
      </c>
      <c r="R249" t="s">
        <v>66</v>
      </c>
      <c r="U249" t="s">
        <v>90</v>
      </c>
      <c r="V249" t="s">
        <v>66</v>
      </c>
      <c r="W249" t="s">
        <v>66</v>
      </c>
      <c r="X249" t="s">
        <v>66</v>
      </c>
      <c r="Y249" t="s">
        <v>66</v>
      </c>
      <c r="Z249" s="99" t="str">
        <f t="shared" ca="1" si="18"/>
        <v/>
      </c>
      <c r="AA249" s="101" t="str">
        <f t="shared" ca="1" si="19"/>
        <v/>
      </c>
    </row>
    <row r="250" spans="2:27" ht="27.6" customHeight="1">
      <c r="B250">
        <f t="shared" ca="1" si="15"/>
        <v>0</v>
      </c>
      <c r="C250" t="s">
        <v>36</v>
      </c>
      <c r="G250" s="75">
        <v>1</v>
      </c>
      <c r="J250" s="66" t="str">
        <f t="shared" ca="1" si="16"/>
        <v>14%</v>
      </c>
      <c r="K250" t="s">
        <v>59</v>
      </c>
      <c r="L250" s="66" t="str">
        <f t="shared" ca="1" si="17"/>
        <v>Sin costo</v>
      </c>
      <c r="M250" t="s">
        <v>64</v>
      </c>
      <c r="N250" t="s">
        <v>66</v>
      </c>
      <c r="O250" t="s">
        <v>66</v>
      </c>
      <c r="P250" t="s">
        <v>66</v>
      </c>
      <c r="R250" t="s">
        <v>66</v>
      </c>
      <c r="U250" t="s">
        <v>90</v>
      </c>
      <c r="V250" t="s">
        <v>66</v>
      </c>
      <c r="W250" t="s">
        <v>66</v>
      </c>
      <c r="X250" t="s">
        <v>66</v>
      </c>
      <c r="Y250" t="s">
        <v>66</v>
      </c>
      <c r="Z250" s="99" t="str">
        <f t="shared" ca="1" si="18"/>
        <v/>
      </c>
      <c r="AA250" s="101" t="str">
        <f t="shared" ca="1" si="19"/>
        <v/>
      </c>
    </row>
    <row r="251" spans="2:27" ht="27.6" customHeight="1">
      <c r="B251">
        <f t="shared" ca="1" si="15"/>
        <v>0</v>
      </c>
      <c r="C251" t="s">
        <v>36</v>
      </c>
      <c r="G251" s="75">
        <v>1</v>
      </c>
      <c r="J251" s="66" t="str">
        <f t="shared" ca="1" si="16"/>
        <v>14%</v>
      </c>
      <c r="K251" t="s">
        <v>59</v>
      </c>
      <c r="L251" s="66" t="str">
        <f t="shared" ca="1" si="17"/>
        <v>Sin costo</v>
      </c>
      <c r="M251" t="s">
        <v>64</v>
      </c>
      <c r="N251" t="s">
        <v>66</v>
      </c>
      <c r="O251" t="s">
        <v>66</v>
      </c>
      <c r="P251" t="s">
        <v>66</v>
      </c>
      <c r="R251" t="s">
        <v>66</v>
      </c>
      <c r="U251" t="s">
        <v>90</v>
      </c>
      <c r="V251" t="s">
        <v>66</v>
      </c>
      <c r="W251" t="s">
        <v>66</v>
      </c>
      <c r="X251" t="s">
        <v>66</v>
      </c>
      <c r="Y251" t="s">
        <v>66</v>
      </c>
      <c r="Z251" s="99" t="str">
        <f t="shared" ca="1" si="18"/>
        <v/>
      </c>
      <c r="AA251" s="101" t="str">
        <f t="shared" ca="1" si="19"/>
        <v/>
      </c>
    </row>
    <row r="252" spans="2:27" ht="27.6" customHeight="1">
      <c r="B252">
        <f t="shared" ca="1" si="15"/>
        <v>0</v>
      </c>
      <c r="C252" t="s">
        <v>36</v>
      </c>
      <c r="G252" s="75">
        <v>1</v>
      </c>
      <c r="J252" s="66" t="str">
        <f t="shared" ca="1" si="16"/>
        <v>14%</v>
      </c>
      <c r="K252" t="s">
        <v>59</v>
      </c>
      <c r="L252" s="66" t="str">
        <f t="shared" ca="1" si="17"/>
        <v>Sin costo</v>
      </c>
      <c r="M252" t="s">
        <v>64</v>
      </c>
      <c r="N252" t="s">
        <v>66</v>
      </c>
      <c r="O252" t="s">
        <v>66</v>
      </c>
      <c r="P252" t="s">
        <v>66</v>
      </c>
      <c r="R252" t="s">
        <v>66</v>
      </c>
      <c r="U252" t="s">
        <v>90</v>
      </c>
      <c r="V252" t="s">
        <v>66</v>
      </c>
      <c r="W252" t="s">
        <v>66</v>
      </c>
      <c r="X252" t="s">
        <v>66</v>
      </c>
      <c r="Y252" t="s">
        <v>66</v>
      </c>
      <c r="Z252" s="99" t="str">
        <f t="shared" ca="1" si="18"/>
        <v/>
      </c>
      <c r="AA252" s="101" t="str">
        <f t="shared" ca="1" si="19"/>
        <v/>
      </c>
    </row>
    <row r="253" spans="2:27" ht="27.6" customHeight="1">
      <c r="B253">
        <f t="shared" ca="1" si="15"/>
        <v>0</v>
      </c>
      <c r="C253" t="s">
        <v>36</v>
      </c>
      <c r="G253" s="75">
        <v>1</v>
      </c>
      <c r="J253" s="66" t="str">
        <f t="shared" ca="1" si="16"/>
        <v>14%</v>
      </c>
      <c r="K253" t="s">
        <v>59</v>
      </c>
      <c r="L253" s="66" t="str">
        <f t="shared" ca="1" si="17"/>
        <v>Sin costo</v>
      </c>
      <c r="M253" t="s">
        <v>64</v>
      </c>
      <c r="N253" t="s">
        <v>66</v>
      </c>
      <c r="O253" t="s">
        <v>66</v>
      </c>
      <c r="P253" t="s">
        <v>66</v>
      </c>
      <c r="R253" t="s">
        <v>66</v>
      </c>
      <c r="U253" t="s">
        <v>90</v>
      </c>
      <c r="V253" t="s">
        <v>66</v>
      </c>
      <c r="W253" t="s">
        <v>66</v>
      </c>
      <c r="X253" t="s">
        <v>66</v>
      </c>
      <c r="Y253" t="s">
        <v>66</v>
      </c>
      <c r="Z253" s="99" t="str">
        <f t="shared" ca="1" si="18"/>
        <v/>
      </c>
      <c r="AA253" s="101" t="str">
        <f t="shared" ca="1" si="19"/>
        <v/>
      </c>
    </row>
    <row r="254" spans="2:27" ht="27.6" customHeight="1">
      <c r="B254">
        <f t="shared" ca="1" si="15"/>
        <v>0</v>
      </c>
      <c r="C254" t="s">
        <v>36</v>
      </c>
      <c r="G254" s="75">
        <v>1</v>
      </c>
      <c r="J254" s="66" t="str">
        <f t="shared" ca="1" si="16"/>
        <v>14%</v>
      </c>
      <c r="K254" t="s">
        <v>59</v>
      </c>
      <c r="L254" s="66" t="str">
        <f t="shared" ca="1" si="17"/>
        <v>Sin costo</v>
      </c>
      <c r="M254" t="s">
        <v>64</v>
      </c>
      <c r="N254" t="s">
        <v>66</v>
      </c>
      <c r="O254" t="s">
        <v>66</v>
      </c>
      <c r="P254" t="s">
        <v>66</v>
      </c>
      <c r="R254" t="s">
        <v>66</v>
      </c>
      <c r="U254" t="s">
        <v>90</v>
      </c>
      <c r="V254" t="s">
        <v>66</v>
      </c>
      <c r="W254" t="s">
        <v>66</v>
      </c>
      <c r="X254" t="s">
        <v>66</v>
      </c>
      <c r="Y254" t="s">
        <v>66</v>
      </c>
      <c r="Z254" s="99" t="str">
        <f t="shared" ca="1" si="18"/>
        <v/>
      </c>
      <c r="AA254" s="101" t="str">
        <f t="shared" ca="1" si="19"/>
        <v/>
      </c>
    </row>
    <row r="255" spans="2:27" ht="27.6" customHeight="1">
      <c r="B255">
        <f t="shared" ca="1" si="15"/>
        <v>0</v>
      </c>
      <c r="C255" t="s">
        <v>36</v>
      </c>
      <c r="G255" s="75">
        <v>1</v>
      </c>
      <c r="J255" s="66" t="str">
        <f t="shared" ca="1" si="16"/>
        <v>14%</v>
      </c>
      <c r="K255" t="s">
        <v>59</v>
      </c>
      <c r="L255" s="66" t="str">
        <f t="shared" ca="1" si="17"/>
        <v>Sin costo</v>
      </c>
      <c r="M255" t="s">
        <v>64</v>
      </c>
      <c r="N255" t="s">
        <v>66</v>
      </c>
      <c r="O255" t="s">
        <v>66</v>
      </c>
      <c r="P255" t="s">
        <v>66</v>
      </c>
      <c r="R255" t="s">
        <v>66</v>
      </c>
      <c r="U255" t="s">
        <v>90</v>
      </c>
      <c r="V255" t="s">
        <v>66</v>
      </c>
      <c r="W255" t="s">
        <v>66</v>
      </c>
      <c r="X255" t="s">
        <v>66</v>
      </c>
      <c r="Y255" t="s">
        <v>66</v>
      </c>
      <c r="Z255" s="99" t="str">
        <f t="shared" ca="1" si="18"/>
        <v/>
      </c>
      <c r="AA255" s="101" t="str">
        <f t="shared" ca="1" si="19"/>
        <v/>
      </c>
    </row>
    <row r="256" spans="2:27" ht="27.6" customHeight="1">
      <c r="B256">
        <f t="shared" ca="1" si="15"/>
        <v>0</v>
      </c>
      <c r="C256" t="s">
        <v>36</v>
      </c>
      <c r="G256" s="75">
        <v>1</v>
      </c>
      <c r="J256" s="66" t="str">
        <f t="shared" ca="1" si="16"/>
        <v>14%</v>
      </c>
      <c r="K256" t="s">
        <v>59</v>
      </c>
      <c r="L256" s="66" t="str">
        <f t="shared" ca="1" si="17"/>
        <v>Sin costo</v>
      </c>
      <c r="M256" t="s">
        <v>64</v>
      </c>
      <c r="N256" t="s">
        <v>66</v>
      </c>
      <c r="O256" t="s">
        <v>66</v>
      </c>
      <c r="P256" t="s">
        <v>66</v>
      </c>
      <c r="R256" t="s">
        <v>66</v>
      </c>
      <c r="U256" t="s">
        <v>90</v>
      </c>
      <c r="V256" t="s">
        <v>66</v>
      </c>
      <c r="W256" t="s">
        <v>66</v>
      </c>
      <c r="X256" t="s">
        <v>66</v>
      </c>
      <c r="Y256" t="s">
        <v>66</v>
      </c>
      <c r="Z256" s="99" t="str">
        <f t="shared" ca="1" si="18"/>
        <v/>
      </c>
      <c r="AA256" s="101" t="str">
        <f t="shared" ca="1" si="19"/>
        <v/>
      </c>
    </row>
    <row r="257" spans="2:27" ht="27.6" customHeight="1">
      <c r="B257">
        <f t="shared" ca="1" si="15"/>
        <v>0</v>
      </c>
      <c r="C257" t="s">
        <v>36</v>
      </c>
      <c r="G257" s="75">
        <v>1</v>
      </c>
      <c r="J257" s="66" t="str">
        <f t="shared" ca="1" si="16"/>
        <v>14%</v>
      </c>
      <c r="K257" t="s">
        <v>59</v>
      </c>
      <c r="L257" s="66" t="str">
        <f t="shared" ca="1" si="17"/>
        <v>Sin costo</v>
      </c>
      <c r="M257" t="s">
        <v>64</v>
      </c>
      <c r="N257" t="s">
        <v>66</v>
      </c>
      <c r="O257" t="s">
        <v>66</v>
      </c>
      <c r="P257" t="s">
        <v>66</v>
      </c>
      <c r="R257" t="s">
        <v>66</v>
      </c>
      <c r="U257" t="s">
        <v>90</v>
      </c>
      <c r="V257" t="s">
        <v>66</v>
      </c>
      <c r="W257" t="s">
        <v>66</v>
      </c>
      <c r="X257" t="s">
        <v>66</v>
      </c>
      <c r="Y257" t="s">
        <v>66</v>
      </c>
      <c r="Z257" s="99" t="str">
        <f t="shared" ca="1" si="18"/>
        <v/>
      </c>
      <c r="AA257" s="101" t="str">
        <f t="shared" ca="1" si="19"/>
        <v/>
      </c>
    </row>
    <row r="258" spans="2:27" ht="27.6" customHeight="1">
      <c r="B258">
        <f t="shared" ca="1" si="15"/>
        <v>0</v>
      </c>
      <c r="C258" t="s">
        <v>36</v>
      </c>
      <c r="G258" s="75">
        <v>1</v>
      </c>
      <c r="J258" s="66" t="str">
        <f t="shared" ca="1" si="16"/>
        <v>14%</v>
      </c>
      <c r="K258" t="s">
        <v>59</v>
      </c>
      <c r="L258" s="66" t="str">
        <f t="shared" ca="1" si="17"/>
        <v>Sin costo</v>
      </c>
      <c r="M258" t="s">
        <v>64</v>
      </c>
      <c r="N258" t="s">
        <v>66</v>
      </c>
      <c r="O258" t="s">
        <v>66</v>
      </c>
      <c r="P258" t="s">
        <v>66</v>
      </c>
      <c r="R258" t="s">
        <v>66</v>
      </c>
      <c r="U258" t="s">
        <v>90</v>
      </c>
      <c r="V258" t="s">
        <v>66</v>
      </c>
      <c r="W258" t="s">
        <v>66</v>
      </c>
      <c r="X258" t="s">
        <v>66</v>
      </c>
      <c r="Y258" t="s">
        <v>66</v>
      </c>
      <c r="Z258" s="99" t="str">
        <f t="shared" ca="1" si="18"/>
        <v/>
      </c>
      <c r="AA258" s="101" t="str">
        <f t="shared" ca="1" si="19"/>
        <v/>
      </c>
    </row>
    <row r="259" spans="2:27" ht="27.6" customHeight="1">
      <c r="B259">
        <f t="shared" ca="1" si="15"/>
        <v>0</v>
      </c>
      <c r="C259" t="s">
        <v>36</v>
      </c>
      <c r="G259" s="75">
        <v>1</v>
      </c>
      <c r="J259" s="66" t="str">
        <f t="shared" ca="1" si="16"/>
        <v>14%</v>
      </c>
      <c r="K259" t="s">
        <v>59</v>
      </c>
      <c r="L259" s="66" t="str">
        <f t="shared" ca="1" si="17"/>
        <v>Sin costo</v>
      </c>
      <c r="M259" t="s">
        <v>64</v>
      </c>
      <c r="N259" t="s">
        <v>66</v>
      </c>
      <c r="O259" t="s">
        <v>66</v>
      </c>
      <c r="P259" t="s">
        <v>66</v>
      </c>
      <c r="R259" t="s">
        <v>66</v>
      </c>
      <c r="U259" t="s">
        <v>90</v>
      </c>
      <c r="V259" t="s">
        <v>66</v>
      </c>
      <c r="W259" t="s">
        <v>66</v>
      </c>
      <c r="X259" t="s">
        <v>66</v>
      </c>
      <c r="Y259" t="s">
        <v>66</v>
      </c>
      <c r="Z259" s="99" t="str">
        <f t="shared" ca="1" si="18"/>
        <v/>
      </c>
      <c r="AA259" s="101" t="str">
        <f t="shared" ca="1" si="19"/>
        <v/>
      </c>
    </row>
    <row r="260" spans="2:27" ht="27.6" customHeight="1">
      <c r="B260">
        <f t="shared" ca="1" si="15"/>
        <v>0</v>
      </c>
      <c r="C260" t="s">
        <v>36</v>
      </c>
      <c r="G260" s="75">
        <v>1</v>
      </c>
      <c r="J260" s="66" t="str">
        <f t="shared" ca="1" si="16"/>
        <v>14%</v>
      </c>
      <c r="K260" t="s">
        <v>59</v>
      </c>
      <c r="L260" s="66" t="str">
        <f t="shared" ca="1" si="17"/>
        <v>Sin costo</v>
      </c>
      <c r="M260" t="s">
        <v>64</v>
      </c>
      <c r="N260" t="s">
        <v>66</v>
      </c>
      <c r="O260" t="s">
        <v>66</v>
      </c>
      <c r="P260" t="s">
        <v>66</v>
      </c>
      <c r="R260" t="s">
        <v>66</v>
      </c>
      <c r="U260" t="s">
        <v>90</v>
      </c>
      <c r="V260" t="s">
        <v>66</v>
      </c>
      <c r="W260" t="s">
        <v>66</v>
      </c>
      <c r="X260" t="s">
        <v>66</v>
      </c>
      <c r="Y260" t="s">
        <v>66</v>
      </c>
      <c r="Z260" s="99" t="str">
        <f t="shared" ca="1" si="18"/>
        <v/>
      </c>
      <c r="AA260" s="101" t="str">
        <f t="shared" ca="1" si="19"/>
        <v/>
      </c>
    </row>
    <row r="261" spans="2:27" ht="27.6" customHeight="1">
      <c r="B261">
        <f t="shared" ca="1" si="15"/>
        <v>0</v>
      </c>
      <c r="C261" t="s">
        <v>36</v>
      </c>
      <c r="G261" s="75">
        <v>1</v>
      </c>
      <c r="J261" s="66" t="str">
        <f t="shared" ca="1" si="16"/>
        <v>14%</v>
      </c>
      <c r="K261" t="s">
        <v>59</v>
      </c>
      <c r="L261" s="66" t="str">
        <f t="shared" ca="1" si="17"/>
        <v>Sin costo</v>
      </c>
      <c r="M261" t="s">
        <v>64</v>
      </c>
      <c r="N261" t="s">
        <v>66</v>
      </c>
      <c r="O261" t="s">
        <v>66</v>
      </c>
      <c r="P261" t="s">
        <v>66</v>
      </c>
      <c r="R261" t="s">
        <v>66</v>
      </c>
      <c r="U261" t="s">
        <v>90</v>
      </c>
      <c r="V261" t="s">
        <v>66</v>
      </c>
      <c r="W261" t="s">
        <v>66</v>
      </c>
      <c r="X261" t="s">
        <v>66</v>
      </c>
      <c r="Y261" t="s">
        <v>66</v>
      </c>
      <c r="Z261" s="99" t="str">
        <f t="shared" ca="1" si="18"/>
        <v/>
      </c>
      <c r="AA261" s="101" t="str">
        <f t="shared" ca="1" si="19"/>
        <v/>
      </c>
    </row>
    <row r="262" spans="2:27" ht="27.6" customHeight="1">
      <c r="B262">
        <f t="shared" ca="1" si="15"/>
        <v>0</v>
      </c>
      <c r="C262" t="s">
        <v>36</v>
      </c>
      <c r="G262" s="75">
        <v>1</v>
      </c>
      <c r="J262" s="66" t="str">
        <f t="shared" ca="1" si="16"/>
        <v>14%</v>
      </c>
      <c r="K262" t="s">
        <v>59</v>
      </c>
      <c r="L262" s="66" t="str">
        <f t="shared" ca="1" si="17"/>
        <v>Sin costo</v>
      </c>
      <c r="M262" t="s">
        <v>64</v>
      </c>
      <c r="N262" t="s">
        <v>66</v>
      </c>
      <c r="O262" t="s">
        <v>66</v>
      </c>
      <c r="P262" t="s">
        <v>66</v>
      </c>
      <c r="R262" t="s">
        <v>66</v>
      </c>
      <c r="U262" t="s">
        <v>90</v>
      </c>
      <c r="V262" t="s">
        <v>66</v>
      </c>
      <c r="W262" t="s">
        <v>66</v>
      </c>
      <c r="X262" t="s">
        <v>66</v>
      </c>
      <c r="Y262" t="s">
        <v>66</v>
      </c>
      <c r="Z262" s="99" t="str">
        <f t="shared" ca="1" si="18"/>
        <v/>
      </c>
      <c r="AA262" s="101" t="str">
        <f t="shared" ca="1" si="19"/>
        <v/>
      </c>
    </row>
    <row r="263" spans="2:27" ht="27.6" customHeight="1">
      <c r="B263">
        <f t="shared" ref="B263:B326" ca="1" si="20">LEN(INDIRECT(ADDRESS(ROW() + (0),COLUMN() + (-1))))</f>
        <v>0</v>
      </c>
      <c r="C263" t="s">
        <v>36</v>
      </c>
      <c r="G263" s="75">
        <v>1</v>
      </c>
      <c r="J263" s="66" t="str">
        <f t="shared" ref="J263:J326" ca="1" si="21">IF(INDIRECT(ADDRESS(ROW() + (0),COLUMN() + (1)))="Agregar cuotas", IF(("14%")="", "-", "14%"), IF(INDIRECT(ADDRESS(ROW() + (0),COLUMN() + (1)))="No agregar cuotas", IF(("14%")="", "-", "14%"), "-"))</f>
        <v>14%</v>
      </c>
      <c r="K263" t="s">
        <v>59</v>
      </c>
      <c r="L263" s="66" t="str">
        <f t="shared" ref="L263:L326" ca="1" si="22">IF(INDIRECT(ADDRESS(ROW() + (0),COLUMN() + (-1)))="Agregar cuotas", IF(("13.9%")="", "Sin costo", "13.9%"), IF(INDIRECT(ADDRESS(ROW() + (0),COLUMN() + (-1)))="No agregar cuotas", IF(("")="", "Sin costo", ""), "-"))</f>
        <v>Sin costo</v>
      </c>
      <c r="M263" t="s">
        <v>64</v>
      </c>
      <c r="N263" t="s">
        <v>66</v>
      </c>
      <c r="O263" t="s">
        <v>66</v>
      </c>
      <c r="P263" t="s">
        <v>66</v>
      </c>
      <c r="R263" t="s">
        <v>66</v>
      </c>
      <c r="U263" t="s">
        <v>90</v>
      </c>
      <c r="V263" t="s">
        <v>66</v>
      </c>
      <c r="W263" t="s">
        <v>66</v>
      </c>
      <c r="X263" t="s">
        <v>66</v>
      </c>
      <c r="Y263" t="s">
        <v>66</v>
      </c>
      <c r="Z263" s="99" t="str">
        <f t="shared" ref="Z263:Z326" ca="1" si="2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263" s="101" t="str">
        <f t="shared" ref="AA263:AA326" ca="1" si="24">IF(TRIM(INDIRECT("A"&amp;ROW())) &lt;&gt; "",FALSE,"")</f>
        <v/>
      </c>
    </row>
    <row r="264" spans="2:27" ht="27.6" customHeight="1">
      <c r="B264">
        <f t="shared" ca="1" si="20"/>
        <v>0</v>
      </c>
      <c r="C264" t="s">
        <v>36</v>
      </c>
      <c r="G264" s="75">
        <v>1</v>
      </c>
      <c r="J264" s="66" t="str">
        <f t="shared" ca="1" si="21"/>
        <v>14%</v>
      </c>
      <c r="K264" t="s">
        <v>59</v>
      </c>
      <c r="L264" s="66" t="str">
        <f t="shared" ca="1" si="22"/>
        <v>Sin costo</v>
      </c>
      <c r="M264" t="s">
        <v>64</v>
      </c>
      <c r="N264" t="s">
        <v>66</v>
      </c>
      <c r="O264" t="s">
        <v>66</v>
      </c>
      <c r="P264" t="s">
        <v>66</v>
      </c>
      <c r="R264" t="s">
        <v>66</v>
      </c>
      <c r="U264" t="s">
        <v>90</v>
      </c>
      <c r="V264" t="s">
        <v>66</v>
      </c>
      <c r="W264" t="s">
        <v>66</v>
      </c>
      <c r="X264" t="s">
        <v>66</v>
      </c>
      <c r="Y264" t="s">
        <v>66</v>
      </c>
      <c r="Z264" s="99" t="str">
        <f t="shared" ca="1" si="23"/>
        <v/>
      </c>
      <c r="AA264" s="101" t="str">
        <f t="shared" ca="1" si="24"/>
        <v/>
      </c>
    </row>
    <row r="265" spans="2:27" ht="27.6" customHeight="1">
      <c r="B265">
        <f t="shared" ca="1" si="20"/>
        <v>0</v>
      </c>
      <c r="C265" t="s">
        <v>36</v>
      </c>
      <c r="G265" s="75">
        <v>1</v>
      </c>
      <c r="J265" s="66" t="str">
        <f t="shared" ca="1" si="21"/>
        <v>14%</v>
      </c>
      <c r="K265" t="s">
        <v>59</v>
      </c>
      <c r="L265" s="66" t="str">
        <f t="shared" ca="1" si="22"/>
        <v>Sin costo</v>
      </c>
      <c r="M265" t="s">
        <v>64</v>
      </c>
      <c r="N265" t="s">
        <v>66</v>
      </c>
      <c r="O265" t="s">
        <v>66</v>
      </c>
      <c r="P265" t="s">
        <v>66</v>
      </c>
      <c r="R265" t="s">
        <v>66</v>
      </c>
      <c r="U265" t="s">
        <v>90</v>
      </c>
      <c r="V265" t="s">
        <v>66</v>
      </c>
      <c r="W265" t="s">
        <v>66</v>
      </c>
      <c r="X265" t="s">
        <v>66</v>
      </c>
      <c r="Y265" t="s">
        <v>66</v>
      </c>
      <c r="Z265" s="99" t="str">
        <f t="shared" ca="1" si="23"/>
        <v/>
      </c>
      <c r="AA265" s="101" t="str">
        <f t="shared" ca="1" si="24"/>
        <v/>
      </c>
    </row>
    <row r="266" spans="2:27" ht="27.6" customHeight="1">
      <c r="B266">
        <f t="shared" ca="1" si="20"/>
        <v>0</v>
      </c>
      <c r="C266" t="s">
        <v>36</v>
      </c>
      <c r="G266" s="75">
        <v>1</v>
      </c>
      <c r="J266" s="66" t="str">
        <f t="shared" ca="1" si="21"/>
        <v>14%</v>
      </c>
      <c r="K266" t="s">
        <v>59</v>
      </c>
      <c r="L266" s="66" t="str">
        <f t="shared" ca="1" si="22"/>
        <v>Sin costo</v>
      </c>
      <c r="M266" t="s">
        <v>64</v>
      </c>
      <c r="N266" t="s">
        <v>66</v>
      </c>
      <c r="O266" t="s">
        <v>66</v>
      </c>
      <c r="P266" t="s">
        <v>66</v>
      </c>
      <c r="R266" t="s">
        <v>66</v>
      </c>
      <c r="U266" t="s">
        <v>90</v>
      </c>
      <c r="V266" t="s">
        <v>66</v>
      </c>
      <c r="W266" t="s">
        <v>66</v>
      </c>
      <c r="X266" t="s">
        <v>66</v>
      </c>
      <c r="Y266" t="s">
        <v>66</v>
      </c>
      <c r="Z266" s="99" t="str">
        <f t="shared" ca="1" si="23"/>
        <v/>
      </c>
      <c r="AA266" s="101" t="str">
        <f t="shared" ca="1" si="24"/>
        <v/>
      </c>
    </row>
    <row r="267" spans="2:27" ht="27.6" customHeight="1">
      <c r="B267">
        <f t="shared" ca="1" si="20"/>
        <v>0</v>
      </c>
      <c r="C267" t="s">
        <v>36</v>
      </c>
      <c r="G267" s="75">
        <v>1</v>
      </c>
      <c r="J267" s="66" t="str">
        <f t="shared" ca="1" si="21"/>
        <v>14%</v>
      </c>
      <c r="K267" t="s">
        <v>59</v>
      </c>
      <c r="L267" s="66" t="str">
        <f t="shared" ca="1" si="22"/>
        <v>Sin costo</v>
      </c>
      <c r="M267" t="s">
        <v>64</v>
      </c>
      <c r="N267" t="s">
        <v>66</v>
      </c>
      <c r="O267" t="s">
        <v>66</v>
      </c>
      <c r="P267" t="s">
        <v>66</v>
      </c>
      <c r="R267" t="s">
        <v>66</v>
      </c>
      <c r="U267" t="s">
        <v>90</v>
      </c>
      <c r="V267" t="s">
        <v>66</v>
      </c>
      <c r="W267" t="s">
        <v>66</v>
      </c>
      <c r="X267" t="s">
        <v>66</v>
      </c>
      <c r="Y267" t="s">
        <v>66</v>
      </c>
      <c r="Z267" s="99" t="str">
        <f t="shared" ca="1" si="23"/>
        <v/>
      </c>
      <c r="AA267" s="101" t="str">
        <f t="shared" ca="1" si="24"/>
        <v/>
      </c>
    </row>
    <row r="268" spans="2:27" ht="27.6" customHeight="1">
      <c r="B268">
        <f t="shared" ca="1" si="20"/>
        <v>0</v>
      </c>
      <c r="C268" t="s">
        <v>36</v>
      </c>
      <c r="G268" s="75">
        <v>1</v>
      </c>
      <c r="J268" s="66" t="str">
        <f t="shared" ca="1" si="21"/>
        <v>14%</v>
      </c>
      <c r="K268" t="s">
        <v>59</v>
      </c>
      <c r="L268" s="66" t="str">
        <f t="shared" ca="1" si="22"/>
        <v>Sin costo</v>
      </c>
      <c r="M268" t="s">
        <v>64</v>
      </c>
      <c r="N268" t="s">
        <v>66</v>
      </c>
      <c r="O268" t="s">
        <v>66</v>
      </c>
      <c r="P268" t="s">
        <v>66</v>
      </c>
      <c r="R268" t="s">
        <v>66</v>
      </c>
      <c r="U268" t="s">
        <v>90</v>
      </c>
      <c r="V268" t="s">
        <v>66</v>
      </c>
      <c r="W268" t="s">
        <v>66</v>
      </c>
      <c r="X268" t="s">
        <v>66</v>
      </c>
      <c r="Y268" t="s">
        <v>66</v>
      </c>
      <c r="Z268" s="99" t="str">
        <f t="shared" ca="1" si="23"/>
        <v/>
      </c>
      <c r="AA268" s="101" t="str">
        <f t="shared" ca="1" si="24"/>
        <v/>
      </c>
    </row>
    <row r="269" spans="2:27" ht="27.6" customHeight="1">
      <c r="B269">
        <f t="shared" ca="1" si="20"/>
        <v>0</v>
      </c>
      <c r="C269" t="s">
        <v>36</v>
      </c>
      <c r="G269" s="75">
        <v>1</v>
      </c>
      <c r="J269" s="66" t="str">
        <f t="shared" ca="1" si="21"/>
        <v>14%</v>
      </c>
      <c r="K269" t="s">
        <v>59</v>
      </c>
      <c r="L269" s="66" t="str">
        <f t="shared" ca="1" si="22"/>
        <v>Sin costo</v>
      </c>
      <c r="M269" t="s">
        <v>64</v>
      </c>
      <c r="N269" t="s">
        <v>66</v>
      </c>
      <c r="O269" t="s">
        <v>66</v>
      </c>
      <c r="P269" t="s">
        <v>66</v>
      </c>
      <c r="R269" t="s">
        <v>66</v>
      </c>
      <c r="U269" t="s">
        <v>90</v>
      </c>
      <c r="V269" t="s">
        <v>66</v>
      </c>
      <c r="W269" t="s">
        <v>66</v>
      </c>
      <c r="X269" t="s">
        <v>66</v>
      </c>
      <c r="Y269" t="s">
        <v>66</v>
      </c>
      <c r="Z269" s="99" t="str">
        <f t="shared" ca="1" si="23"/>
        <v/>
      </c>
      <c r="AA269" s="101" t="str">
        <f t="shared" ca="1" si="24"/>
        <v/>
      </c>
    </row>
    <row r="270" spans="2:27" ht="27.6" customHeight="1">
      <c r="B270">
        <f t="shared" ca="1" si="20"/>
        <v>0</v>
      </c>
      <c r="C270" t="s">
        <v>36</v>
      </c>
      <c r="G270" s="75">
        <v>1</v>
      </c>
      <c r="J270" s="66" t="str">
        <f t="shared" ca="1" si="21"/>
        <v>14%</v>
      </c>
      <c r="K270" t="s">
        <v>59</v>
      </c>
      <c r="L270" s="66" t="str">
        <f t="shared" ca="1" si="22"/>
        <v>Sin costo</v>
      </c>
      <c r="M270" t="s">
        <v>64</v>
      </c>
      <c r="N270" t="s">
        <v>66</v>
      </c>
      <c r="O270" t="s">
        <v>66</v>
      </c>
      <c r="P270" t="s">
        <v>66</v>
      </c>
      <c r="R270" t="s">
        <v>66</v>
      </c>
      <c r="U270" t="s">
        <v>90</v>
      </c>
      <c r="V270" t="s">
        <v>66</v>
      </c>
      <c r="W270" t="s">
        <v>66</v>
      </c>
      <c r="X270" t="s">
        <v>66</v>
      </c>
      <c r="Y270" t="s">
        <v>66</v>
      </c>
      <c r="Z270" s="99" t="str">
        <f t="shared" ca="1" si="23"/>
        <v/>
      </c>
      <c r="AA270" s="101" t="str">
        <f t="shared" ca="1" si="24"/>
        <v/>
      </c>
    </row>
    <row r="271" spans="2:27" ht="27.6" customHeight="1">
      <c r="B271">
        <f t="shared" ca="1" si="20"/>
        <v>0</v>
      </c>
      <c r="C271" t="s">
        <v>36</v>
      </c>
      <c r="G271" s="75">
        <v>1</v>
      </c>
      <c r="J271" s="66" t="str">
        <f t="shared" ca="1" si="21"/>
        <v>14%</v>
      </c>
      <c r="K271" t="s">
        <v>59</v>
      </c>
      <c r="L271" s="66" t="str">
        <f t="shared" ca="1" si="22"/>
        <v>Sin costo</v>
      </c>
      <c r="M271" t="s">
        <v>64</v>
      </c>
      <c r="N271" t="s">
        <v>66</v>
      </c>
      <c r="O271" t="s">
        <v>66</v>
      </c>
      <c r="P271" t="s">
        <v>66</v>
      </c>
      <c r="R271" t="s">
        <v>66</v>
      </c>
      <c r="U271" t="s">
        <v>90</v>
      </c>
      <c r="V271" t="s">
        <v>66</v>
      </c>
      <c r="W271" t="s">
        <v>66</v>
      </c>
      <c r="X271" t="s">
        <v>66</v>
      </c>
      <c r="Y271" t="s">
        <v>66</v>
      </c>
      <c r="Z271" s="99" t="str">
        <f t="shared" ca="1" si="23"/>
        <v/>
      </c>
      <c r="AA271" s="101" t="str">
        <f t="shared" ca="1" si="24"/>
        <v/>
      </c>
    </row>
    <row r="272" spans="2:27" ht="27.6" customHeight="1">
      <c r="B272">
        <f t="shared" ca="1" si="20"/>
        <v>0</v>
      </c>
      <c r="C272" t="s">
        <v>36</v>
      </c>
      <c r="G272" s="75">
        <v>1</v>
      </c>
      <c r="J272" s="66" t="str">
        <f t="shared" ca="1" si="21"/>
        <v>14%</v>
      </c>
      <c r="K272" t="s">
        <v>59</v>
      </c>
      <c r="L272" s="66" t="str">
        <f t="shared" ca="1" si="22"/>
        <v>Sin costo</v>
      </c>
      <c r="M272" t="s">
        <v>64</v>
      </c>
      <c r="N272" t="s">
        <v>66</v>
      </c>
      <c r="O272" t="s">
        <v>66</v>
      </c>
      <c r="P272" t="s">
        <v>66</v>
      </c>
      <c r="R272" t="s">
        <v>66</v>
      </c>
      <c r="U272" t="s">
        <v>90</v>
      </c>
      <c r="V272" t="s">
        <v>66</v>
      </c>
      <c r="W272" t="s">
        <v>66</v>
      </c>
      <c r="X272" t="s">
        <v>66</v>
      </c>
      <c r="Y272" t="s">
        <v>66</v>
      </c>
      <c r="Z272" s="99" t="str">
        <f t="shared" ca="1" si="23"/>
        <v/>
      </c>
      <c r="AA272" s="101" t="str">
        <f t="shared" ca="1" si="24"/>
        <v/>
      </c>
    </row>
    <row r="273" spans="2:27" ht="27.6" customHeight="1">
      <c r="B273">
        <f t="shared" ca="1" si="20"/>
        <v>0</v>
      </c>
      <c r="C273" t="s">
        <v>36</v>
      </c>
      <c r="G273" s="75">
        <v>1</v>
      </c>
      <c r="J273" s="66" t="str">
        <f t="shared" ca="1" si="21"/>
        <v>14%</v>
      </c>
      <c r="K273" t="s">
        <v>59</v>
      </c>
      <c r="L273" s="66" t="str">
        <f t="shared" ca="1" si="22"/>
        <v>Sin costo</v>
      </c>
      <c r="M273" t="s">
        <v>64</v>
      </c>
      <c r="N273" t="s">
        <v>66</v>
      </c>
      <c r="O273" t="s">
        <v>66</v>
      </c>
      <c r="P273" t="s">
        <v>66</v>
      </c>
      <c r="R273" t="s">
        <v>66</v>
      </c>
      <c r="U273" t="s">
        <v>90</v>
      </c>
      <c r="V273" t="s">
        <v>66</v>
      </c>
      <c r="W273" t="s">
        <v>66</v>
      </c>
      <c r="X273" t="s">
        <v>66</v>
      </c>
      <c r="Y273" t="s">
        <v>66</v>
      </c>
      <c r="Z273" s="99" t="str">
        <f t="shared" ca="1" si="23"/>
        <v/>
      </c>
      <c r="AA273" s="101" t="str">
        <f t="shared" ca="1" si="24"/>
        <v/>
      </c>
    </row>
    <row r="274" spans="2:27" ht="27.6" customHeight="1">
      <c r="B274">
        <f t="shared" ca="1" si="20"/>
        <v>0</v>
      </c>
      <c r="C274" t="s">
        <v>36</v>
      </c>
      <c r="G274" s="75">
        <v>1</v>
      </c>
      <c r="J274" s="66" t="str">
        <f t="shared" ca="1" si="21"/>
        <v>14%</v>
      </c>
      <c r="K274" t="s">
        <v>59</v>
      </c>
      <c r="L274" s="66" t="str">
        <f t="shared" ca="1" si="22"/>
        <v>Sin costo</v>
      </c>
      <c r="M274" t="s">
        <v>64</v>
      </c>
      <c r="N274" t="s">
        <v>66</v>
      </c>
      <c r="O274" t="s">
        <v>66</v>
      </c>
      <c r="P274" t="s">
        <v>66</v>
      </c>
      <c r="R274" t="s">
        <v>66</v>
      </c>
      <c r="U274" t="s">
        <v>90</v>
      </c>
      <c r="V274" t="s">
        <v>66</v>
      </c>
      <c r="W274" t="s">
        <v>66</v>
      </c>
      <c r="X274" t="s">
        <v>66</v>
      </c>
      <c r="Y274" t="s">
        <v>66</v>
      </c>
      <c r="Z274" s="99" t="str">
        <f t="shared" ca="1" si="23"/>
        <v/>
      </c>
      <c r="AA274" s="101" t="str">
        <f t="shared" ca="1" si="24"/>
        <v/>
      </c>
    </row>
    <row r="275" spans="2:27" ht="27.6" customHeight="1">
      <c r="B275">
        <f t="shared" ca="1" si="20"/>
        <v>0</v>
      </c>
      <c r="C275" t="s">
        <v>36</v>
      </c>
      <c r="G275" s="75">
        <v>1</v>
      </c>
      <c r="J275" s="66" t="str">
        <f t="shared" ca="1" si="21"/>
        <v>14%</v>
      </c>
      <c r="K275" t="s">
        <v>59</v>
      </c>
      <c r="L275" s="66" t="str">
        <f t="shared" ca="1" si="22"/>
        <v>Sin costo</v>
      </c>
      <c r="M275" t="s">
        <v>64</v>
      </c>
      <c r="N275" t="s">
        <v>66</v>
      </c>
      <c r="O275" t="s">
        <v>66</v>
      </c>
      <c r="P275" t="s">
        <v>66</v>
      </c>
      <c r="R275" t="s">
        <v>66</v>
      </c>
      <c r="U275" t="s">
        <v>90</v>
      </c>
      <c r="V275" t="s">
        <v>66</v>
      </c>
      <c r="W275" t="s">
        <v>66</v>
      </c>
      <c r="X275" t="s">
        <v>66</v>
      </c>
      <c r="Y275" t="s">
        <v>66</v>
      </c>
      <c r="Z275" s="99" t="str">
        <f t="shared" ca="1" si="23"/>
        <v/>
      </c>
      <c r="AA275" s="101" t="str">
        <f t="shared" ca="1" si="24"/>
        <v/>
      </c>
    </row>
    <row r="276" spans="2:27" ht="27.6" customHeight="1">
      <c r="B276">
        <f t="shared" ca="1" si="20"/>
        <v>0</v>
      </c>
      <c r="C276" t="s">
        <v>36</v>
      </c>
      <c r="G276" s="75">
        <v>1</v>
      </c>
      <c r="J276" s="66" t="str">
        <f t="shared" ca="1" si="21"/>
        <v>14%</v>
      </c>
      <c r="K276" t="s">
        <v>59</v>
      </c>
      <c r="L276" s="66" t="str">
        <f t="shared" ca="1" si="22"/>
        <v>Sin costo</v>
      </c>
      <c r="M276" t="s">
        <v>64</v>
      </c>
      <c r="N276" t="s">
        <v>66</v>
      </c>
      <c r="O276" t="s">
        <v>66</v>
      </c>
      <c r="P276" t="s">
        <v>66</v>
      </c>
      <c r="R276" t="s">
        <v>66</v>
      </c>
      <c r="U276" t="s">
        <v>90</v>
      </c>
      <c r="V276" t="s">
        <v>66</v>
      </c>
      <c r="W276" t="s">
        <v>66</v>
      </c>
      <c r="X276" t="s">
        <v>66</v>
      </c>
      <c r="Y276" t="s">
        <v>66</v>
      </c>
      <c r="Z276" s="99" t="str">
        <f t="shared" ca="1" si="23"/>
        <v/>
      </c>
      <c r="AA276" s="101" t="str">
        <f t="shared" ca="1" si="24"/>
        <v/>
      </c>
    </row>
    <row r="277" spans="2:27" ht="27.6" customHeight="1">
      <c r="B277">
        <f t="shared" ca="1" si="20"/>
        <v>0</v>
      </c>
      <c r="C277" t="s">
        <v>36</v>
      </c>
      <c r="G277" s="75">
        <v>1</v>
      </c>
      <c r="J277" s="66" t="str">
        <f t="shared" ca="1" si="21"/>
        <v>14%</v>
      </c>
      <c r="K277" t="s">
        <v>59</v>
      </c>
      <c r="L277" s="66" t="str">
        <f t="shared" ca="1" si="22"/>
        <v>Sin costo</v>
      </c>
      <c r="M277" t="s">
        <v>64</v>
      </c>
      <c r="N277" t="s">
        <v>66</v>
      </c>
      <c r="O277" t="s">
        <v>66</v>
      </c>
      <c r="P277" t="s">
        <v>66</v>
      </c>
      <c r="R277" t="s">
        <v>66</v>
      </c>
      <c r="U277" t="s">
        <v>90</v>
      </c>
      <c r="V277" t="s">
        <v>66</v>
      </c>
      <c r="W277" t="s">
        <v>66</v>
      </c>
      <c r="X277" t="s">
        <v>66</v>
      </c>
      <c r="Y277" t="s">
        <v>66</v>
      </c>
      <c r="Z277" s="99" t="str">
        <f t="shared" ca="1" si="23"/>
        <v/>
      </c>
      <c r="AA277" s="101" t="str">
        <f t="shared" ca="1" si="24"/>
        <v/>
      </c>
    </row>
    <row r="278" spans="2:27" ht="27.6" customHeight="1">
      <c r="B278">
        <f t="shared" ca="1" si="20"/>
        <v>0</v>
      </c>
      <c r="C278" t="s">
        <v>36</v>
      </c>
      <c r="G278" s="75">
        <v>1</v>
      </c>
      <c r="J278" s="66" t="str">
        <f t="shared" ca="1" si="21"/>
        <v>14%</v>
      </c>
      <c r="K278" t="s">
        <v>59</v>
      </c>
      <c r="L278" s="66" t="str">
        <f t="shared" ca="1" si="22"/>
        <v>Sin costo</v>
      </c>
      <c r="M278" t="s">
        <v>64</v>
      </c>
      <c r="N278" t="s">
        <v>66</v>
      </c>
      <c r="O278" t="s">
        <v>66</v>
      </c>
      <c r="P278" t="s">
        <v>66</v>
      </c>
      <c r="R278" t="s">
        <v>66</v>
      </c>
      <c r="U278" t="s">
        <v>90</v>
      </c>
      <c r="V278" t="s">
        <v>66</v>
      </c>
      <c r="W278" t="s">
        <v>66</v>
      </c>
      <c r="X278" t="s">
        <v>66</v>
      </c>
      <c r="Y278" t="s">
        <v>66</v>
      </c>
      <c r="Z278" s="99" t="str">
        <f t="shared" ca="1" si="23"/>
        <v/>
      </c>
      <c r="AA278" s="101" t="str">
        <f t="shared" ca="1" si="24"/>
        <v/>
      </c>
    </row>
    <row r="279" spans="2:27" ht="27.6" customHeight="1">
      <c r="B279">
        <f t="shared" ca="1" si="20"/>
        <v>0</v>
      </c>
      <c r="C279" t="s">
        <v>36</v>
      </c>
      <c r="G279" s="75">
        <v>1</v>
      </c>
      <c r="J279" s="66" t="str">
        <f t="shared" ca="1" si="21"/>
        <v>14%</v>
      </c>
      <c r="K279" t="s">
        <v>59</v>
      </c>
      <c r="L279" s="66" t="str">
        <f t="shared" ca="1" si="22"/>
        <v>Sin costo</v>
      </c>
      <c r="M279" t="s">
        <v>64</v>
      </c>
      <c r="N279" t="s">
        <v>66</v>
      </c>
      <c r="O279" t="s">
        <v>66</v>
      </c>
      <c r="P279" t="s">
        <v>66</v>
      </c>
      <c r="R279" t="s">
        <v>66</v>
      </c>
      <c r="U279" t="s">
        <v>90</v>
      </c>
      <c r="V279" t="s">
        <v>66</v>
      </c>
      <c r="W279" t="s">
        <v>66</v>
      </c>
      <c r="X279" t="s">
        <v>66</v>
      </c>
      <c r="Y279" t="s">
        <v>66</v>
      </c>
      <c r="Z279" s="99" t="str">
        <f t="shared" ca="1" si="23"/>
        <v/>
      </c>
      <c r="AA279" s="101" t="str">
        <f t="shared" ca="1" si="24"/>
        <v/>
      </c>
    </row>
    <row r="280" spans="2:27" ht="27.6" customHeight="1">
      <c r="B280">
        <f t="shared" ca="1" si="20"/>
        <v>0</v>
      </c>
      <c r="C280" t="s">
        <v>36</v>
      </c>
      <c r="G280" s="75">
        <v>1</v>
      </c>
      <c r="J280" s="66" t="str">
        <f t="shared" ca="1" si="21"/>
        <v>14%</v>
      </c>
      <c r="K280" t="s">
        <v>59</v>
      </c>
      <c r="L280" s="66" t="str">
        <f t="shared" ca="1" si="22"/>
        <v>Sin costo</v>
      </c>
      <c r="M280" t="s">
        <v>64</v>
      </c>
      <c r="N280" t="s">
        <v>66</v>
      </c>
      <c r="O280" t="s">
        <v>66</v>
      </c>
      <c r="P280" t="s">
        <v>66</v>
      </c>
      <c r="R280" t="s">
        <v>66</v>
      </c>
      <c r="U280" t="s">
        <v>90</v>
      </c>
      <c r="V280" t="s">
        <v>66</v>
      </c>
      <c r="W280" t="s">
        <v>66</v>
      </c>
      <c r="X280" t="s">
        <v>66</v>
      </c>
      <c r="Y280" t="s">
        <v>66</v>
      </c>
      <c r="Z280" s="99" t="str">
        <f t="shared" ca="1" si="23"/>
        <v/>
      </c>
      <c r="AA280" s="101" t="str">
        <f t="shared" ca="1" si="24"/>
        <v/>
      </c>
    </row>
    <row r="281" spans="2:27" ht="27.6" customHeight="1">
      <c r="B281">
        <f t="shared" ca="1" si="20"/>
        <v>0</v>
      </c>
      <c r="C281" t="s">
        <v>36</v>
      </c>
      <c r="G281" s="75">
        <v>1</v>
      </c>
      <c r="J281" s="66" t="str">
        <f t="shared" ca="1" si="21"/>
        <v>14%</v>
      </c>
      <c r="K281" t="s">
        <v>59</v>
      </c>
      <c r="L281" s="66" t="str">
        <f t="shared" ca="1" si="22"/>
        <v>Sin costo</v>
      </c>
      <c r="M281" t="s">
        <v>64</v>
      </c>
      <c r="N281" t="s">
        <v>66</v>
      </c>
      <c r="O281" t="s">
        <v>66</v>
      </c>
      <c r="P281" t="s">
        <v>66</v>
      </c>
      <c r="R281" t="s">
        <v>66</v>
      </c>
      <c r="U281" t="s">
        <v>90</v>
      </c>
      <c r="V281" t="s">
        <v>66</v>
      </c>
      <c r="W281" t="s">
        <v>66</v>
      </c>
      <c r="X281" t="s">
        <v>66</v>
      </c>
      <c r="Y281" t="s">
        <v>66</v>
      </c>
      <c r="Z281" s="99" t="str">
        <f t="shared" ca="1" si="23"/>
        <v/>
      </c>
      <c r="AA281" s="101" t="str">
        <f t="shared" ca="1" si="24"/>
        <v/>
      </c>
    </row>
    <row r="282" spans="2:27" ht="27.6" customHeight="1">
      <c r="B282">
        <f t="shared" ca="1" si="20"/>
        <v>0</v>
      </c>
      <c r="C282" t="s">
        <v>36</v>
      </c>
      <c r="G282" s="75">
        <v>1</v>
      </c>
      <c r="J282" s="66" t="str">
        <f t="shared" ca="1" si="21"/>
        <v>14%</v>
      </c>
      <c r="K282" t="s">
        <v>59</v>
      </c>
      <c r="L282" s="66" t="str">
        <f t="shared" ca="1" si="22"/>
        <v>Sin costo</v>
      </c>
      <c r="M282" t="s">
        <v>64</v>
      </c>
      <c r="N282" t="s">
        <v>66</v>
      </c>
      <c r="O282" t="s">
        <v>66</v>
      </c>
      <c r="P282" t="s">
        <v>66</v>
      </c>
      <c r="R282" t="s">
        <v>66</v>
      </c>
      <c r="U282" t="s">
        <v>90</v>
      </c>
      <c r="V282" t="s">
        <v>66</v>
      </c>
      <c r="W282" t="s">
        <v>66</v>
      </c>
      <c r="X282" t="s">
        <v>66</v>
      </c>
      <c r="Y282" t="s">
        <v>66</v>
      </c>
      <c r="Z282" s="99" t="str">
        <f t="shared" ca="1" si="23"/>
        <v/>
      </c>
      <c r="AA282" s="101" t="str">
        <f t="shared" ca="1" si="24"/>
        <v/>
      </c>
    </row>
    <row r="283" spans="2:27" ht="27.6" customHeight="1">
      <c r="B283">
        <f t="shared" ca="1" si="20"/>
        <v>0</v>
      </c>
      <c r="C283" t="s">
        <v>36</v>
      </c>
      <c r="G283" s="75">
        <v>1</v>
      </c>
      <c r="J283" s="66" t="str">
        <f t="shared" ca="1" si="21"/>
        <v>14%</v>
      </c>
      <c r="K283" t="s">
        <v>59</v>
      </c>
      <c r="L283" s="66" t="str">
        <f t="shared" ca="1" si="22"/>
        <v>Sin costo</v>
      </c>
      <c r="M283" t="s">
        <v>64</v>
      </c>
      <c r="N283" t="s">
        <v>66</v>
      </c>
      <c r="O283" t="s">
        <v>66</v>
      </c>
      <c r="P283" t="s">
        <v>66</v>
      </c>
      <c r="R283" t="s">
        <v>66</v>
      </c>
      <c r="U283" t="s">
        <v>90</v>
      </c>
      <c r="V283" t="s">
        <v>66</v>
      </c>
      <c r="W283" t="s">
        <v>66</v>
      </c>
      <c r="X283" t="s">
        <v>66</v>
      </c>
      <c r="Y283" t="s">
        <v>66</v>
      </c>
      <c r="Z283" s="99" t="str">
        <f t="shared" ca="1" si="23"/>
        <v/>
      </c>
      <c r="AA283" s="101" t="str">
        <f t="shared" ca="1" si="24"/>
        <v/>
      </c>
    </row>
    <row r="284" spans="2:27" ht="27.6" customHeight="1">
      <c r="B284">
        <f t="shared" ca="1" si="20"/>
        <v>0</v>
      </c>
      <c r="C284" t="s">
        <v>36</v>
      </c>
      <c r="G284" s="75">
        <v>1</v>
      </c>
      <c r="J284" s="66" t="str">
        <f t="shared" ca="1" si="21"/>
        <v>14%</v>
      </c>
      <c r="K284" t="s">
        <v>59</v>
      </c>
      <c r="L284" s="66" t="str">
        <f t="shared" ca="1" si="22"/>
        <v>Sin costo</v>
      </c>
      <c r="M284" t="s">
        <v>64</v>
      </c>
      <c r="N284" t="s">
        <v>66</v>
      </c>
      <c r="O284" t="s">
        <v>66</v>
      </c>
      <c r="P284" t="s">
        <v>66</v>
      </c>
      <c r="R284" t="s">
        <v>66</v>
      </c>
      <c r="U284" t="s">
        <v>90</v>
      </c>
      <c r="V284" t="s">
        <v>66</v>
      </c>
      <c r="W284" t="s">
        <v>66</v>
      </c>
      <c r="X284" t="s">
        <v>66</v>
      </c>
      <c r="Y284" t="s">
        <v>66</v>
      </c>
      <c r="Z284" s="99" t="str">
        <f t="shared" ca="1" si="23"/>
        <v/>
      </c>
      <c r="AA284" s="101" t="str">
        <f t="shared" ca="1" si="24"/>
        <v/>
      </c>
    </row>
    <row r="285" spans="2:27" ht="27.6" customHeight="1">
      <c r="B285">
        <f t="shared" ca="1" si="20"/>
        <v>0</v>
      </c>
      <c r="C285" t="s">
        <v>36</v>
      </c>
      <c r="G285" s="75">
        <v>1</v>
      </c>
      <c r="J285" s="66" t="str">
        <f t="shared" ca="1" si="21"/>
        <v>14%</v>
      </c>
      <c r="K285" t="s">
        <v>59</v>
      </c>
      <c r="L285" s="66" t="str">
        <f t="shared" ca="1" si="22"/>
        <v>Sin costo</v>
      </c>
      <c r="M285" t="s">
        <v>64</v>
      </c>
      <c r="N285" t="s">
        <v>66</v>
      </c>
      <c r="O285" t="s">
        <v>66</v>
      </c>
      <c r="P285" t="s">
        <v>66</v>
      </c>
      <c r="R285" t="s">
        <v>66</v>
      </c>
      <c r="U285" t="s">
        <v>90</v>
      </c>
      <c r="V285" t="s">
        <v>66</v>
      </c>
      <c r="W285" t="s">
        <v>66</v>
      </c>
      <c r="X285" t="s">
        <v>66</v>
      </c>
      <c r="Y285" t="s">
        <v>66</v>
      </c>
      <c r="Z285" s="99" t="str">
        <f t="shared" ca="1" si="23"/>
        <v/>
      </c>
      <c r="AA285" s="101" t="str">
        <f t="shared" ca="1" si="24"/>
        <v/>
      </c>
    </row>
    <row r="286" spans="2:27" ht="27.6" customHeight="1">
      <c r="B286">
        <f t="shared" ca="1" si="20"/>
        <v>0</v>
      </c>
      <c r="C286" t="s">
        <v>36</v>
      </c>
      <c r="G286" s="75">
        <v>1</v>
      </c>
      <c r="J286" s="66" t="str">
        <f t="shared" ca="1" si="21"/>
        <v>14%</v>
      </c>
      <c r="K286" t="s">
        <v>59</v>
      </c>
      <c r="L286" s="66" t="str">
        <f t="shared" ca="1" si="22"/>
        <v>Sin costo</v>
      </c>
      <c r="M286" t="s">
        <v>64</v>
      </c>
      <c r="N286" t="s">
        <v>66</v>
      </c>
      <c r="O286" t="s">
        <v>66</v>
      </c>
      <c r="P286" t="s">
        <v>66</v>
      </c>
      <c r="R286" t="s">
        <v>66</v>
      </c>
      <c r="U286" t="s">
        <v>90</v>
      </c>
      <c r="V286" t="s">
        <v>66</v>
      </c>
      <c r="W286" t="s">
        <v>66</v>
      </c>
      <c r="X286" t="s">
        <v>66</v>
      </c>
      <c r="Y286" t="s">
        <v>66</v>
      </c>
      <c r="Z286" s="99" t="str">
        <f t="shared" ca="1" si="23"/>
        <v/>
      </c>
      <c r="AA286" s="101" t="str">
        <f t="shared" ca="1" si="24"/>
        <v/>
      </c>
    </row>
    <row r="287" spans="2:27" ht="27.6" customHeight="1">
      <c r="B287">
        <f t="shared" ca="1" si="20"/>
        <v>0</v>
      </c>
      <c r="C287" t="s">
        <v>36</v>
      </c>
      <c r="G287" s="75">
        <v>1</v>
      </c>
      <c r="J287" s="66" t="str">
        <f t="shared" ca="1" si="21"/>
        <v>14%</v>
      </c>
      <c r="K287" t="s">
        <v>59</v>
      </c>
      <c r="L287" s="66" t="str">
        <f t="shared" ca="1" si="22"/>
        <v>Sin costo</v>
      </c>
      <c r="M287" t="s">
        <v>64</v>
      </c>
      <c r="N287" t="s">
        <v>66</v>
      </c>
      <c r="O287" t="s">
        <v>66</v>
      </c>
      <c r="P287" t="s">
        <v>66</v>
      </c>
      <c r="R287" t="s">
        <v>66</v>
      </c>
      <c r="U287" t="s">
        <v>90</v>
      </c>
      <c r="V287" t="s">
        <v>66</v>
      </c>
      <c r="W287" t="s">
        <v>66</v>
      </c>
      <c r="X287" t="s">
        <v>66</v>
      </c>
      <c r="Y287" t="s">
        <v>66</v>
      </c>
      <c r="Z287" s="99" t="str">
        <f t="shared" ca="1" si="23"/>
        <v/>
      </c>
      <c r="AA287" s="101" t="str">
        <f t="shared" ca="1" si="24"/>
        <v/>
      </c>
    </row>
    <row r="288" spans="2:27" ht="27.6" customHeight="1">
      <c r="B288">
        <f t="shared" ca="1" si="20"/>
        <v>0</v>
      </c>
      <c r="C288" t="s">
        <v>36</v>
      </c>
      <c r="G288" s="75">
        <v>1</v>
      </c>
      <c r="J288" s="66" t="str">
        <f t="shared" ca="1" si="21"/>
        <v>14%</v>
      </c>
      <c r="K288" t="s">
        <v>59</v>
      </c>
      <c r="L288" s="66" t="str">
        <f t="shared" ca="1" si="22"/>
        <v>Sin costo</v>
      </c>
      <c r="M288" t="s">
        <v>64</v>
      </c>
      <c r="N288" t="s">
        <v>66</v>
      </c>
      <c r="O288" t="s">
        <v>66</v>
      </c>
      <c r="P288" t="s">
        <v>66</v>
      </c>
      <c r="R288" t="s">
        <v>66</v>
      </c>
      <c r="U288" t="s">
        <v>90</v>
      </c>
      <c r="V288" t="s">
        <v>66</v>
      </c>
      <c r="W288" t="s">
        <v>66</v>
      </c>
      <c r="X288" t="s">
        <v>66</v>
      </c>
      <c r="Y288" t="s">
        <v>66</v>
      </c>
      <c r="Z288" s="99" t="str">
        <f t="shared" ca="1" si="23"/>
        <v/>
      </c>
      <c r="AA288" s="101" t="str">
        <f t="shared" ca="1" si="24"/>
        <v/>
      </c>
    </row>
    <row r="289" spans="2:27" ht="27.6" customHeight="1">
      <c r="B289">
        <f t="shared" ca="1" si="20"/>
        <v>0</v>
      </c>
      <c r="C289" t="s">
        <v>36</v>
      </c>
      <c r="G289" s="75">
        <v>1</v>
      </c>
      <c r="J289" s="66" t="str">
        <f t="shared" ca="1" si="21"/>
        <v>14%</v>
      </c>
      <c r="K289" t="s">
        <v>59</v>
      </c>
      <c r="L289" s="66" t="str">
        <f t="shared" ca="1" si="22"/>
        <v>Sin costo</v>
      </c>
      <c r="M289" t="s">
        <v>64</v>
      </c>
      <c r="N289" t="s">
        <v>66</v>
      </c>
      <c r="O289" t="s">
        <v>66</v>
      </c>
      <c r="P289" t="s">
        <v>66</v>
      </c>
      <c r="R289" t="s">
        <v>66</v>
      </c>
      <c r="U289" t="s">
        <v>90</v>
      </c>
      <c r="V289" t="s">
        <v>66</v>
      </c>
      <c r="W289" t="s">
        <v>66</v>
      </c>
      <c r="X289" t="s">
        <v>66</v>
      </c>
      <c r="Y289" t="s">
        <v>66</v>
      </c>
      <c r="Z289" s="99" t="str">
        <f t="shared" ca="1" si="23"/>
        <v/>
      </c>
      <c r="AA289" s="101" t="str">
        <f t="shared" ca="1" si="24"/>
        <v/>
      </c>
    </row>
    <row r="290" spans="2:27" ht="27.6" customHeight="1">
      <c r="B290">
        <f t="shared" ca="1" si="20"/>
        <v>0</v>
      </c>
      <c r="C290" t="s">
        <v>36</v>
      </c>
      <c r="G290" s="75">
        <v>1</v>
      </c>
      <c r="J290" s="66" t="str">
        <f t="shared" ca="1" si="21"/>
        <v>14%</v>
      </c>
      <c r="K290" t="s">
        <v>59</v>
      </c>
      <c r="L290" s="66" t="str">
        <f t="shared" ca="1" si="22"/>
        <v>Sin costo</v>
      </c>
      <c r="M290" t="s">
        <v>64</v>
      </c>
      <c r="N290" t="s">
        <v>66</v>
      </c>
      <c r="O290" t="s">
        <v>66</v>
      </c>
      <c r="P290" t="s">
        <v>66</v>
      </c>
      <c r="R290" t="s">
        <v>66</v>
      </c>
      <c r="U290" t="s">
        <v>90</v>
      </c>
      <c r="V290" t="s">
        <v>66</v>
      </c>
      <c r="W290" t="s">
        <v>66</v>
      </c>
      <c r="X290" t="s">
        <v>66</v>
      </c>
      <c r="Y290" t="s">
        <v>66</v>
      </c>
      <c r="Z290" s="99" t="str">
        <f t="shared" ca="1" si="23"/>
        <v/>
      </c>
      <c r="AA290" s="101" t="str">
        <f t="shared" ca="1" si="24"/>
        <v/>
      </c>
    </row>
    <row r="291" spans="2:27" ht="27.6" customHeight="1">
      <c r="B291">
        <f t="shared" ca="1" si="20"/>
        <v>0</v>
      </c>
      <c r="C291" t="s">
        <v>36</v>
      </c>
      <c r="G291" s="75">
        <v>1</v>
      </c>
      <c r="J291" s="66" t="str">
        <f t="shared" ca="1" si="21"/>
        <v>14%</v>
      </c>
      <c r="K291" t="s">
        <v>59</v>
      </c>
      <c r="L291" s="66" t="str">
        <f t="shared" ca="1" si="22"/>
        <v>Sin costo</v>
      </c>
      <c r="M291" t="s">
        <v>64</v>
      </c>
      <c r="N291" t="s">
        <v>66</v>
      </c>
      <c r="O291" t="s">
        <v>66</v>
      </c>
      <c r="P291" t="s">
        <v>66</v>
      </c>
      <c r="R291" t="s">
        <v>66</v>
      </c>
      <c r="U291" t="s">
        <v>90</v>
      </c>
      <c r="V291" t="s">
        <v>66</v>
      </c>
      <c r="W291" t="s">
        <v>66</v>
      </c>
      <c r="X291" t="s">
        <v>66</v>
      </c>
      <c r="Y291" t="s">
        <v>66</v>
      </c>
      <c r="Z291" s="99" t="str">
        <f t="shared" ca="1" si="23"/>
        <v/>
      </c>
      <c r="AA291" s="101" t="str">
        <f t="shared" ca="1" si="24"/>
        <v/>
      </c>
    </row>
    <row r="292" spans="2:27" ht="27.6" customHeight="1">
      <c r="B292">
        <f t="shared" ca="1" si="20"/>
        <v>0</v>
      </c>
      <c r="C292" t="s">
        <v>36</v>
      </c>
      <c r="G292" s="75">
        <v>1</v>
      </c>
      <c r="J292" s="66" t="str">
        <f t="shared" ca="1" si="21"/>
        <v>14%</v>
      </c>
      <c r="K292" t="s">
        <v>59</v>
      </c>
      <c r="L292" s="66" t="str">
        <f t="shared" ca="1" si="22"/>
        <v>Sin costo</v>
      </c>
      <c r="M292" t="s">
        <v>64</v>
      </c>
      <c r="N292" t="s">
        <v>66</v>
      </c>
      <c r="O292" t="s">
        <v>66</v>
      </c>
      <c r="P292" t="s">
        <v>66</v>
      </c>
      <c r="R292" t="s">
        <v>66</v>
      </c>
      <c r="U292" t="s">
        <v>90</v>
      </c>
      <c r="V292" t="s">
        <v>66</v>
      </c>
      <c r="W292" t="s">
        <v>66</v>
      </c>
      <c r="X292" t="s">
        <v>66</v>
      </c>
      <c r="Y292" t="s">
        <v>66</v>
      </c>
      <c r="Z292" s="99" t="str">
        <f t="shared" ca="1" si="23"/>
        <v/>
      </c>
      <c r="AA292" s="101" t="str">
        <f t="shared" ca="1" si="24"/>
        <v/>
      </c>
    </row>
    <row r="293" spans="2:27" ht="27.6" customHeight="1">
      <c r="B293">
        <f t="shared" ca="1" si="20"/>
        <v>0</v>
      </c>
      <c r="C293" t="s">
        <v>36</v>
      </c>
      <c r="G293" s="75">
        <v>1</v>
      </c>
      <c r="J293" s="66" t="str">
        <f t="shared" ca="1" si="21"/>
        <v>14%</v>
      </c>
      <c r="K293" t="s">
        <v>59</v>
      </c>
      <c r="L293" s="66" t="str">
        <f t="shared" ca="1" si="22"/>
        <v>Sin costo</v>
      </c>
      <c r="M293" t="s">
        <v>64</v>
      </c>
      <c r="N293" t="s">
        <v>66</v>
      </c>
      <c r="O293" t="s">
        <v>66</v>
      </c>
      <c r="P293" t="s">
        <v>66</v>
      </c>
      <c r="R293" t="s">
        <v>66</v>
      </c>
      <c r="U293" t="s">
        <v>90</v>
      </c>
      <c r="V293" t="s">
        <v>66</v>
      </c>
      <c r="W293" t="s">
        <v>66</v>
      </c>
      <c r="X293" t="s">
        <v>66</v>
      </c>
      <c r="Y293" t="s">
        <v>66</v>
      </c>
      <c r="Z293" s="99" t="str">
        <f t="shared" ca="1" si="23"/>
        <v/>
      </c>
      <c r="AA293" s="101" t="str">
        <f t="shared" ca="1" si="24"/>
        <v/>
      </c>
    </row>
    <row r="294" spans="2:27" ht="27.6" customHeight="1">
      <c r="B294">
        <f t="shared" ca="1" si="20"/>
        <v>0</v>
      </c>
      <c r="C294" t="s">
        <v>36</v>
      </c>
      <c r="G294" s="75">
        <v>1</v>
      </c>
      <c r="J294" s="66" t="str">
        <f t="shared" ca="1" si="21"/>
        <v>14%</v>
      </c>
      <c r="K294" t="s">
        <v>59</v>
      </c>
      <c r="L294" s="66" t="str">
        <f t="shared" ca="1" si="22"/>
        <v>Sin costo</v>
      </c>
      <c r="M294" t="s">
        <v>64</v>
      </c>
      <c r="N294" t="s">
        <v>66</v>
      </c>
      <c r="O294" t="s">
        <v>66</v>
      </c>
      <c r="P294" t="s">
        <v>66</v>
      </c>
      <c r="R294" t="s">
        <v>66</v>
      </c>
      <c r="U294" t="s">
        <v>90</v>
      </c>
      <c r="V294" t="s">
        <v>66</v>
      </c>
      <c r="W294" t="s">
        <v>66</v>
      </c>
      <c r="X294" t="s">
        <v>66</v>
      </c>
      <c r="Y294" t="s">
        <v>66</v>
      </c>
      <c r="Z294" s="99" t="str">
        <f t="shared" ca="1" si="23"/>
        <v/>
      </c>
      <c r="AA294" s="101" t="str">
        <f t="shared" ca="1" si="24"/>
        <v/>
      </c>
    </row>
    <row r="295" spans="2:27" ht="27.6" customHeight="1">
      <c r="B295">
        <f t="shared" ca="1" si="20"/>
        <v>0</v>
      </c>
      <c r="C295" t="s">
        <v>36</v>
      </c>
      <c r="G295" s="75">
        <v>1</v>
      </c>
      <c r="J295" s="66" t="str">
        <f t="shared" ca="1" si="21"/>
        <v>14%</v>
      </c>
      <c r="K295" t="s">
        <v>59</v>
      </c>
      <c r="L295" s="66" t="str">
        <f t="shared" ca="1" si="22"/>
        <v>Sin costo</v>
      </c>
      <c r="M295" t="s">
        <v>64</v>
      </c>
      <c r="N295" t="s">
        <v>66</v>
      </c>
      <c r="O295" t="s">
        <v>66</v>
      </c>
      <c r="P295" t="s">
        <v>66</v>
      </c>
      <c r="R295" t="s">
        <v>66</v>
      </c>
      <c r="U295" t="s">
        <v>90</v>
      </c>
      <c r="V295" t="s">
        <v>66</v>
      </c>
      <c r="W295" t="s">
        <v>66</v>
      </c>
      <c r="X295" t="s">
        <v>66</v>
      </c>
      <c r="Y295" t="s">
        <v>66</v>
      </c>
      <c r="Z295" s="99" t="str">
        <f t="shared" ca="1" si="23"/>
        <v/>
      </c>
      <c r="AA295" s="101" t="str">
        <f t="shared" ca="1" si="24"/>
        <v/>
      </c>
    </row>
    <row r="296" spans="2:27" ht="27.6" customHeight="1">
      <c r="B296">
        <f t="shared" ca="1" si="20"/>
        <v>0</v>
      </c>
      <c r="C296" t="s">
        <v>36</v>
      </c>
      <c r="G296" s="75">
        <v>1</v>
      </c>
      <c r="J296" s="66" t="str">
        <f t="shared" ca="1" si="21"/>
        <v>14%</v>
      </c>
      <c r="K296" t="s">
        <v>59</v>
      </c>
      <c r="L296" s="66" t="str">
        <f t="shared" ca="1" si="22"/>
        <v>Sin costo</v>
      </c>
      <c r="M296" t="s">
        <v>64</v>
      </c>
      <c r="N296" t="s">
        <v>66</v>
      </c>
      <c r="O296" t="s">
        <v>66</v>
      </c>
      <c r="P296" t="s">
        <v>66</v>
      </c>
      <c r="R296" t="s">
        <v>66</v>
      </c>
      <c r="U296" t="s">
        <v>90</v>
      </c>
      <c r="V296" t="s">
        <v>66</v>
      </c>
      <c r="W296" t="s">
        <v>66</v>
      </c>
      <c r="X296" t="s">
        <v>66</v>
      </c>
      <c r="Y296" t="s">
        <v>66</v>
      </c>
      <c r="Z296" s="99" t="str">
        <f t="shared" ca="1" si="23"/>
        <v/>
      </c>
      <c r="AA296" s="101" t="str">
        <f t="shared" ca="1" si="24"/>
        <v/>
      </c>
    </row>
    <row r="297" spans="2:27" ht="27.6" customHeight="1">
      <c r="B297">
        <f t="shared" ca="1" si="20"/>
        <v>0</v>
      </c>
      <c r="C297" t="s">
        <v>36</v>
      </c>
      <c r="G297" s="75">
        <v>1</v>
      </c>
      <c r="J297" s="66" t="str">
        <f t="shared" ca="1" si="21"/>
        <v>14%</v>
      </c>
      <c r="K297" t="s">
        <v>59</v>
      </c>
      <c r="L297" s="66" t="str">
        <f t="shared" ca="1" si="22"/>
        <v>Sin costo</v>
      </c>
      <c r="M297" t="s">
        <v>64</v>
      </c>
      <c r="N297" t="s">
        <v>66</v>
      </c>
      <c r="O297" t="s">
        <v>66</v>
      </c>
      <c r="P297" t="s">
        <v>66</v>
      </c>
      <c r="R297" t="s">
        <v>66</v>
      </c>
      <c r="U297" t="s">
        <v>90</v>
      </c>
      <c r="V297" t="s">
        <v>66</v>
      </c>
      <c r="W297" t="s">
        <v>66</v>
      </c>
      <c r="X297" t="s">
        <v>66</v>
      </c>
      <c r="Y297" t="s">
        <v>66</v>
      </c>
      <c r="Z297" s="99" t="str">
        <f t="shared" ca="1" si="23"/>
        <v/>
      </c>
      <c r="AA297" s="101" t="str">
        <f t="shared" ca="1" si="24"/>
        <v/>
      </c>
    </row>
    <row r="298" spans="2:27" ht="27.6" customHeight="1">
      <c r="B298">
        <f t="shared" ca="1" si="20"/>
        <v>0</v>
      </c>
      <c r="C298" t="s">
        <v>36</v>
      </c>
      <c r="G298" s="75">
        <v>1</v>
      </c>
      <c r="J298" s="66" t="str">
        <f t="shared" ca="1" si="21"/>
        <v>14%</v>
      </c>
      <c r="K298" t="s">
        <v>59</v>
      </c>
      <c r="L298" s="66" t="str">
        <f t="shared" ca="1" si="22"/>
        <v>Sin costo</v>
      </c>
      <c r="M298" t="s">
        <v>64</v>
      </c>
      <c r="N298" t="s">
        <v>66</v>
      </c>
      <c r="O298" t="s">
        <v>66</v>
      </c>
      <c r="P298" t="s">
        <v>66</v>
      </c>
      <c r="R298" t="s">
        <v>66</v>
      </c>
      <c r="U298" t="s">
        <v>90</v>
      </c>
      <c r="V298" t="s">
        <v>66</v>
      </c>
      <c r="W298" t="s">
        <v>66</v>
      </c>
      <c r="X298" t="s">
        <v>66</v>
      </c>
      <c r="Y298" t="s">
        <v>66</v>
      </c>
      <c r="Z298" s="99" t="str">
        <f t="shared" ca="1" si="23"/>
        <v/>
      </c>
      <c r="AA298" s="101" t="str">
        <f t="shared" ca="1" si="24"/>
        <v/>
      </c>
    </row>
    <row r="299" spans="2:27" ht="27.6" customHeight="1">
      <c r="B299">
        <f t="shared" ca="1" si="20"/>
        <v>0</v>
      </c>
      <c r="C299" t="s">
        <v>36</v>
      </c>
      <c r="G299" s="75">
        <v>1</v>
      </c>
      <c r="J299" s="66" t="str">
        <f t="shared" ca="1" si="21"/>
        <v>14%</v>
      </c>
      <c r="K299" t="s">
        <v>59</v>
      </c>
      <c r="L299" s="66" t="str">
        <f t="shared" ca="1" si="22"/>
        <v>Sin costo</v>
      </c>
      <c r="M299" t="s">
        <v>64</v>
      </c>
      <c r="N299" t="s">
        <v>66</v>
      </c>
      <c r="O299" t="s">
        <v>66</v>
      </c>
      <c r="P299" t="s">
        <v>66</v>
      </c>
      <c r="R299" t="s">
        <v>66</v>
      </c>
      <c r="U299" t="s">
        <v>90</v>
      </c>
      <c r="V299" t="s">
        <v>66</v>
      </c>
      <c r="W299" t="s">
        <v>66</v>
      </c>
      <c r="X299" t="s">
        <v>66</v>
      </c>
      <c r="Y299" t="s">
        <v>66</v>
      </c>
      <c r="Z299" s="99" t="str">
        <f t="shared" ca="1" si="23"/>
        <v/>
      </c>
      <c r="AA299" s="101" t="str">
        <f t="shared" ca="1" si="24"/>
        <v/>
      </c>
    </row>
    <row r="300" spans="2:27" ht="27.6" customHeight="1">
      <c r="B300">
        <f t="shared" ca="1" si="20"/>
        <v>0</v>
      </c>
      <c r="C300" t="s">
        <v>36</v>
      </c>
      <c r="G300" s="75">
        <v>1</v>
      </c>
      <c r="J300" s="66" t="str">
        <f t="shared" ca="1" si="21"/>
        <v>14%</v>
      </c>
      <c r="K300" t="s">
        <v>59</v>
      </c>
      <c r="L300" s="66" t="str">
        <f t="shared" ca="1" si="22"/>
        <v>Sin costo</v>
      </c>
      <c r="M300" t="s">
        <v>64</v>
      </c>
      <c r="N300" t="s">
        <v>66</v>
      </c>
      <c r="O300" t="s">
        <v>66</v>
      </c>
      <c r="P300" t="s">
        <v>66</v>
      </c>
      <c r="R300" t="s">
        <v>66</v>
      </c>
      <c r="U300" t="s">
        <v>90</v>
      </c>
      <c r="V300" t="s">
        <v>66</v>
      </c>
      <c r="W300" t="s">
        <v>66</v>
      </c>
      <c r="X300" t="s">
        <v>66</v>
      </c>
      <c r="Y300" t="s">
        <v>66</v>
      </c>
      <c r="Z300" s="99" t="str">
        <f t="shared" ca="1" si="23"/>
        <v/>
      </c>
      <c r="AA300" s="101" t="str">
        <f t="shared" ca="1" si="24"/>
        <v/>
      </c>
    </row>
    <row r="301" spans="2:27" ht="27.6" customHeight="1">
      <c r="B301">
        <f t="shared" ca="1" si="20"/>
        <v>0</v>
      </c>
      <c r="C301" t="s">
        <v>36</v>
      </c>
      <c r="G301" s="75">
        <v>1</v>
      </c>
      <c r="J301" s="66" t="str">
        <f t="shared" ca="1" si="21"/>
        <v>14%</v>
      </c>
      <c r="K301" t="s">
        <v>59</v>
      </c>
      <c r="L301" s="66" t="str">
        <f t="shared" ca="1" si="22"/>
        <v>Sin costo</v>
      </c>
      <c r="M301" t="s">
        <v>64</v>
      </c>
      <c r="N301" t="s">
        <v>66</v>
      </c>
      <c r="O301" t="s">
        <v>66</v>
      </c>
      <c r="P301" t="s">
        <v>66</v>
      </c>
      <c r="R301" t="s">
        <v>66</v>
      </c>
      <c r="U301" t="s">
        <v>90</v>
      </c>
      <c r="V301" t="s">
        <v>66</v>
      </c>
      <c r="W301" t="s">
        <v>66</v>
      </c>
      <c r="X301" t="s">
        <v>66</v>
      </c>
      <c r="Y301" t="s">
        <v>66</v>
      </c>
      <c r="Z301" s="99" t="str">
        <f t="shared" ca="1" si="23"/>
        <v/>
      </c>
      <c r="AA301" s="101" t="str">
        <f t="shared" ca="1" si="24"/>
        <v/>
      </c>
    </row>
    <row r="302" spans="2:27" ht="27.6" customHeight="1">
      <c r="B302">
        <f t="shared" ca="1" si="20"/>
        <v>0</v>
      </c>
      <c r="C302" t="s">
        <v>36</v>
      </c>
      <c r="G302" s="75">
        <v>1</v>
      </c>
      <c r="J302" s="66" t="str">
        <f t="shared" ca="1" si="21"/>
        <v>14%</v>
      </c>
      <c r="K302" t="s">
        <v>59</v>
      </c>
      <c r="L302" s="66" t="str">
        <f t="shared" ca="1" si="22"/>
        <v>Sin costo</v>
      </c>
      <c r="M302" t="s">
        <v>64</v>
      </c>
      <c r="N302" t="s">
        <v>66</v>
      </c>
      <c r="O302" t="s">
        <v>66</v>
      </c>
      <c r="P302" t="s">
        <v>66</v>
      </c>
      <c r="R302" t="s">
        <v>66</v>
      </c>
      <c r="U302" t="s">
        <v>90</v>
      </c>
      <c r="V302" t="s">
        <v>66</v>
      </c>
      <c r="W302" t="s">
        <v>66</v>
      </c>
      <c r="X302" t="s">
        <v>66</v>
      </c>
      <c r="Y302" t="s">
        <v>66</v>
      </c>
      <c r="Z302" s="99" t="str">
        <f t="shared" ca="1" si="23"/>
        <v/>
      </c>
      <c r="AA302" s="101" t="str">
        <f t="shared" ca="1" si="24"/>
        <v/>
      </c>
    </row>
    <row r="303" spans="2:27" ht="27.6" customHeight="1">
      <c r="B303">
        <f t="shared" ca="1" si="20"/>
        <v>0</v>
      </c>
      <c r="C303" t="s">
        <v>36</v>
      </c>
      <c r="G303" s="75">
        <v>1</v>
      </c>
      <c r="J303" s="66" t="str">
        <f t="shared" ca="1" si="21"/>
        <v>14%</v>
      </c>
      <c r="K303" t="s">
        <v>59</v>
      </c>
      <c r="L303" s="66" t="str">
        <f t="shared" ca="1" si="22"/>
        <v>Sin costo</v>
      </c>
      <c r="M303" t="s">
        <v>64</v>
      </c>
      <c r="N303" t="s">
        <v>66</v>
      </c>
      <c r="O303" t="s">
        <v>66</v>
      </c>
      <c r="P303" t="s">
        <v>66</v>
      </c>
      <c r="R303" t="s">
        <v>66</v>
      </c>
      <c r="U303" t="s">
        <v>90</v>
      </c>
      <c r="V303" t="s">
        <v>66</v>
      </c>
      <c r="W303" t="s">
        <v>66</v>
      </c>
      <c r="X303" t="s">
        <v>66</v>
      </c>
      <c r="Y303" t="s">
        <v>66</v>
      </c>
      <c r="Z303" s="99" t="str">
        <f t="shared" ca="1" si="23"/>
        <v/>
      </c>
      <c r="AA303" s="101" t="str">
        <f t="shared" ca="1" si="24"/>
        <v/>
      </c>
    </row>
    <row r="304" spans="2:27" ht="27.6" customHeight="1">
      <c r="B304">
        <f t="shared" ca="1" si="20"/>
        <v>0</v>
      </c>
      <c r="C304" t="s">
        <v>36</v>
      </c>
      <c r="G304" s="75">
        <v>1</v>
      </c>
      <c r="J304" s="66" t="str">
        <f t="shared" ca="1" si="21"/>
        <v>14%</v>
      </c>
      <c r="K304" t="s">
        <v>59</v>
      </c>
      <c r="L304" s="66" t="str">
        <f t="shared" ca="1" si="22"/>
        <v>Sin costo</v>
      </c>
      <c r="M304" t="s">
        <v>64</v>
      </c>
      <c r="N304" t="s">
        <v>66</v>
      </c>
      <c r="O304" t="s">
        <v>66</v>
      </c>
      <c r="P304" t="s">
        <v>66</v>
      </c>
      <c r="R304" t="s">
        <v>66</v>
      </c>
      <c r="U304" t="s">
        <v>90</v>
      </c>
      <c r="V304" t="s">
        <v>66</v>
      </c>
      <c r="W304" t="s">
        <v>66</v>
      </c>
      <c r="X304" t="s">
        <v>66</v>
      </c>
      <c r="Y304" t="s">
        <v>66</v>
      </c>
      <c r="Z304" s="99" t="str">
        <f t="shared" ca="1" si="23"/>
        <v/>
      </c>
      <c r="AA304" s="101" t="str">
        <f t="shared" ca="1" si="24"/>
        <v/>
      </c>
    </row>
    <row r="305" spans="2:27" ht="27.6" customHeight="1">
      <c r="B305">
        <f t="shared" ca="1" si="20"/>
        <v>0</v>
      </c>
      <c r="C305" t="s">
        <v>36</v>
      </c>
      <c r="G305" s="75">
        <v>1</v>
      </c>
      <c r="J305" s="66" t="str">
        <f t="shared" ca="1" si="21"/>
        <v>14%</v>
      </c>
      <c r="K305" t="s">
        <v>59</v>
      </c>
      <c r="L305" s="66" t="str">
        <f t="shared" ca="1" si="22"/>
        <v>Sin costo</v>
      </c>
      <c r="M305" t="s">
        <v>64</v>
      </c>
      <c r="N305" t="s">
        <v>66</v>
      </c>
      <c r="O305" t="s">
        <v>66</v>
      </c>
      <c r="P305" t="s">
        <v>66</v>
      </c>
      <c r="R305" t="s">
        <v>66</v>
      </c>
      <c r="U305" t="s">
        <v>90</v>
      </c>
      <c r="V305" t="s">
        <v>66</v>
      </c>
      <c r="W305" t="s">
        <v>66</v>
      </c>
      <c r="X305" t="s">
        <v>66</v>
      </c>
      <c r="Y305" t="s">
        <v>66</v>
      </c>
      <c r="Z305" s="99" t="str">
        <f t="shared" ca="1" si="23"/>
        <v/>
      </c>
      <c r="AA305" s="101" t="str">
        <f t="shared" ca="1" si="24"/>
        <v/>
      </c>
    </row>
    <row r="306" spans="2:27" ht="27.6" customHeight="1">
      <c r="B306">
        <f t="shared" ca="1" si="20"/>
        <v>0</v>
      </c>
      <c r="C306" t="s">
        <v>36</v>
      </c>
      <c r="G306" s="75">
        <v>1</v>
      </c>
      <c r="J306" s="66" t="str">
        <f t="shared" ca="1" si="21"/>
        <v>14%</v>
      </c>
      <c r="K306" t="s">
        <v>59</v>
      </c>
      <c r="L306" s="66" t="str">
        <f t="shared" ca="1" si="22"/>
        <v>Sin costo</v>
      </c>
      <c r="M306" t="s">
        <v>64</v>
      </c>
      <c r="N306" t="s">
        <v>66</v>
      </c>
      <c r="O306" t="s">
        <v>66</v>
      </c>
      <c r="P306" t="s">
        <v>66</v>
      </c>
      <c r="R306" t="s">
        <v>66</v>
      </c>
      <c r="U306" t="s">
        <v>90</v>
      </c>
      <c r="V306" t="s">
        <v>66</v>
      </c>
      <c r="W306" t="s">
        <v>66</v>
      </c>
      <c r="X306" t="s">
        <v>66</v>
      </c>
      <c r="Y306" t="s">
        <v>66</v>
      </c>
      <c r="Z306" s="99" t="str">
        <f t="shared" ca="1" si="23"/>
        <v/>
      </c>
      <c r="AA306" s="101" t="str">
        <f t="shared" ca="1" si="24"/>
        <v/>
      </c>
    </row>
    <row r="307" spans="2:27" ht="27.6" customHeight="1">
      <c r="B307">
        <f t="shared" ca="1" si="20"/>
        <v>0</v>
      </c>
      <c r="C307" t="s">
        <v>36</v>
      </c>
      <c r="G307" s="75">
        <v>1</v>
      </c>
      <c r="J307" s="66" t="str">
        <f t="shared" ca="1" si="21"/>
        <v>14%</v>
      </c>
      <c r="K307" t="s">
        <v>59</v>
      </c>
      <c r="L307" s="66" t="str">
        <f t="shared" ca="1" si="22"/>
        <v>Sin costo</v>
      </c>
      <c r="M307" t="s">
        <v>64</v>
      </c>
      <c r="N307" t="s">
        <v>66</v>
      </c>
      <c r="O307" t="s">
        <v>66</v>
      </c>
      <c r="P307" t="s">
        <v>66</v>
      </c>
      <c r="R307" t="s">
        <v>66</v>
      </c>
      <c r="U307" t="s">
        <v>90</v>
      </c>
      <c r="V307" t="s">
        <v>66</v>
      </c>
      <c r="W307" t="s">
        <v>66</v>
      </c>
      <c r="X307" t="s">
        <v>66</v>
      </c>
      <c r="Y307" t="s">
        <v>66</v>
      </c>
      <c r="Z307" s="99" t="str">
        <f t="shared" ca="1" si="23"/>
        <v/>
      </c>
      <c r="AA307" s="101" t="str">
        <f t="shared" ca="1" si="24"/>
        <v/>
      </c>
    </row>
    <row r="308" spans="2:27" ht="27.6" customHeight="1">
      <c r="B308">
        <f t="shared" ca="1" si="20"/>
        <v>0</v>
      </c>
      <c r="C308" t="s">
        <v>36</v>
      </c>
      <c r="G308" s="75">
        <v>1</v>
      </c>
      <c r="J308" s="66" t="str">
        <f t="shared" ca="1" si="21"/>
        <v>14%</v>
      </c>
      <c r="K308" t="s">
        <v>59</v>
      </c>
      <c r="L308" s="66" t="str">
        <f t="shared" ca="1" si="22"/>
        <v>Sin costo</v>
      </c>
      <c r="M308" t="s">
        <v>64</v>
      </c>
      <c r="N308" t="s">
        <v>66</v>
      </c>
      <c r="O308" t="s">
        <v>66</v>
      </c>
      <c r="P308" t="s">
        <v>66</v>
      </c>
      <c r="R308" t="s">
        <v>66</v>
      </c>
      <c r="U308" t="s">
        <v>90</v>
      </c>
      <c r="V308" t="s">
        <v>66</v>
      </c>
      <c r="W308" t="s">
        <v>66</v>
      </c>
      <c r="X308" t="s">
        <v>66</v>
      </c>
      <c r="Y308" t="s">
        <v>66</v>
      </c>
      <c r="Z308" s="99" t="str">
        <f t="shared" ca="1" si="23"/>
        <v/>
      </c>
      <c r="AA308" s="101" t="str">
        <f t="shared" ca="1" si="24"/>
        <v/>
      </c>
    </row>
    <row r="309" spans="2:27" ht="27.6" customHeight="1">
      <c r="B309">
        <f t="shared" ca="1" si="20"/>
        <v>0</v>
      </c>
      <c r="C309" t="s">
        <v>36</v>
      </c>
      <c r="G309" s="75">
        <v>1</v>
      </c>
      <c r="J309" s="66" t="str">
        <f t="shared" ca="1" si="21"/>
        <v>14%</v>
      </c>
      <c r="K309" t="s">
        <v>59</v>
      </c>
      <c r="L309" s="66" t="str">
        <f t="shared" ca="1" si="22"/>
        <v>Sin costo</v>
      </c>
      <c r="M309" t="s">
        <v>64</v>
      </c>
      <c r="N309" t="s">
        <v>66</v>
      </c>
      <c r="O309" t="s">
        <v>66</v>
      </c>
      <c r="P309" t="s">
        <v>66</v>
      </c>
      <c r="R309" t="s">
        <v>66</v>
      </c>
      <c r="U309" t="s">
        <v>90</v>
      </c>
      <c r="V309" t="s">
        <v>66</v>
      </c>
      <c r="W309" t="s">
        <v>66</v>
      </c>
      <c r="X309" t="s">
        <v>66</v>
      </c>
      <c r="Y309" t="s">
        <v>66</v>
      </c>
      <c r="Z309" s="99" t="str">
        <f t="shared" ca="1" si="23"/>
        <v/>
      </c>
      <c r="AA309" s="101" t="str">
        <f t="shared" ca="1" si="24"/>
        <v/>
      </c>
    </row>
    <row r="310" spans="2:27" ht="27.6" customHeight="1">
      <c r="B310">
        <f t="shared" ca="1" si="20"/>
        <v>0</v>
      </c>
      <c r="C310" t="s">
        <v>36</v>
      </c>
      <c r="G310" s="75">
        <v>1</v>
      </c>
      <c r="J310" s="66" t="str">
        <f t="shared" ca="1" si="21"/>
        <v>14%</v>
      </c>
      <c r="K310" t="s">
        <v>59</v>
      </c>
      <c r="L310" s="66" t="str">
        <f t="shared" ca="1" si="22"/>
        <v>Sin costo</v>
      </c>
      <c r="M310" t="s">
        <v>64</v>
      </c>
      <c r="N310" t="s">
        <v>66</v>
      </c>
      <c r="O310" t="s">
        <v>66</v>
      </c>
      <c r="P310" t="s">
        <v>66</v>
      </c>
      <c r="R310" t="s">
        <v>66</v>
      </c>
      <c r="U310" t="s">
        <v>90</v>
      </c>
      <c r="V310" t="s">
        <v>66</v>
      </c>
      <c r="W310" t="s">
        <v>66</v>
      </c>
      <c r="X310" t="s">
        <v>66</v>
      </c>
      <c r="Y310" t="s">
        <v>66</v>
      </c>
      <c r="Z310" s="99" t="str">
        <f t="shared" ca="1" si="23"/>
        <v/>
      </c>
      <c r="AA310" s="101" t="str">
        <f t="shared" ca="1" si="24"/>
        <v/>
      </c>
    </row>
    <row r="311" spans="2:27" ht="27.6" customHeight="1">
      <c r="B311">
        <f t="shared" ca="1" si="20"/>
        <v>0</v>
      </c>
      <c r="C311" t="s">
        <v>36</v>
      </c>
      <c r="G311" s="75">
        <v>1</v>
      </c>
      <c r="J311" s="66" t="str">
        <f t="shared" ca="1" si="21"/>
        <v>14%</v>
      </c>
      <c r="K311" t="s">
        <v>59</v>
      </c>
      <c r="L311" s="66" t="str">
        <f t="shared" ca="1" si="22"/>
        <v>Sin costo</v>
      </c>
      <c r="M311" t="s">
        <v>64</v>
      </c>
      <c r="N311" t="s">
        <v>66</v>
      </c>
      <c r="O311" t="s">
        <v>66</v>
      </c>
      <c r="P311" t="s">
        <v>66</v>
      </c>
      <c r="R311" t="s">
        <v>66</v>
      </c>
      <c r="U311" t="s">
        <v>90</v>
      </c>
      <c r="V311" t="s">
        <v>66</v>
      </c>
      <c r="W311" t="s">
        <v>66</v>
      </c>
      <c r="X311" t="s">
        <v>66</v>
      </c>
      <c r="Y311" t="s">
        <v>66</v>
      </c>
      <c r="Z311" s="99" t="str">
        <f t="shared" ca="1" si="23"/>
        <v/>
      </c>
      <c r="AA311" s="101" t="str">
        <f t="shared" ca="1" si="24"/>
        <v/>
      </c>
    </row>
    <row r="312" spans="2:27" ht="27.6" customHeight="1">
      <c r="B312">
        <f t="shared" ca="1" si="20"/>
        <v>0</v>
      </c>
      <c r="C312" t="s">
        <v>36</v>
      </c>
      <c r="G312" s="75">
        <v>1</v>
      </c>
      <c r="J312" s="66" t="str">
        <f t="shared" ca="1" si="21"/>
        <v>14%</v>
      </c>
      <c r="K312" t="s">
        <v>59</v>
      </c>
      <c r="L312" s="66" t="str">
        <f t="shared" ca="1" si="22"/>
        <v>Sin costo</v>
      </c>
      <c r="M312" t="s">
        <v>64</v>
      </c>
      <c r="N312" t="s">
        <v>66</v>
      </c>
      <c r="O312" t="s">
        <v>66</v>
      </c>
      <c r="P312" t="s">
        <v>66</v>
      </c>
      <c r="R312" t="s">
        <v>66</v>
      </c>
      <c r="U312" t="s">
        <v>90</v>
      </c>
      <c r="V312" t="s">
        <v>66</v>
      </c>
      <c r="W312" t="s">
        <v>66</v>
      </c>
      <c r="X312" t="s">
        <v>66</v>
      </c>
      <c r="Y312" t="s">
        <v>66</v>
      </c>
      <c r="Z312" s="99" t="str">
        <f t="shared" ca="1" si="23"/>
        <v/>
      </c>
      <c r="AA312" s="101" t="str">
        <f t="shared" ca="1" si="24"/>
        <v/>
      </c>
    </row>
    <row r="313" spans="2:27" ht="27.6" customHeight="1">
      <c r="B313">
        <f t="shared" ca="1" si="20"/>
        <v>0</v>
      </c>
      <c r="C313" t="s">
        <v>36</v>
      </c>
      <c r="G313" s="75">
        <v>1</v>
      </c>
      <c r="J313" s="66" t="str">
        <f t="shared" ca="1" si="21"/>
        <v>14%</v>
      </c>
      <c r="K313" t="s">
        <v>59</v>
      </c>
      <c r="L313" s="66" t="str">
        <f t="shared" ca="1" si="22"/>
        <v>Sin costo</v>
      </c>
      <c r="M313" t="s">
        <v>64</v>
      </c>
      <c r="N313" t="s">
        <v>66</v>
      </c>
      <c r="O313" t="s">
        <v>66</v>
      </c>
      <c r="P313" t="s">
        <v>66</v>
      </c>
      <c r="R313" t="s">
        <v>66</v>
      </c>
      <c r="U313" t="s">
        <v>90</v>
      </c>
      <c r="V313" t="s">
        <v>66</v>
      </c>
      <c r="W313" t="s">
        <v>66</v>
      </c>
      <c r="X313" t="s">
        <v>66</v>
      </c>
      <c r="Y313" t="s">
        <v>66</v>
      </c>
      <c r="Z313" s="99" t="str">
        <f t="shared" ca="1" si="23"/>
        <v/>
      </c>
      <c r="AA313" s="101" t="str">
        <f t="shared" ca="1" si="24"/>
        <v/>
      </c>
    </row>
    <row r="314" spans="2:27" ht="27.6" customHeight="1">
      <c r="B314">
        <f t="shared" ca="1" si="20"/>
        <v>0</v>
      </c>
      <c r="C314" t="s">
        <v>36</v>
      </c>
      <c r="G314" s="75">
        <v>1</v>
      </c>
      <c r="J314" s="66" t="str">
        <f t="shared" ca="1" si="21"/>
        <v>14%</v>
      </c>
      <c r="K314" t="s">
        <v>59</v>
      </c>
      <c r="L314" s="66" t="str">
        <f t="shared" ca="1" si="22"/>
        <v>Sin costo</v>
      </c>
      <c r="M314" t="s">
        <v>64</v>
      </c>
      <c r="N314" t="s">
        <v>66</v>
      </c>
      <c r="O314" t="s">
        <v>66</v>
      </c>
      <c r="P314" t="s">
        <v>66</v>
      </c>
      <c r="R314" t="s">
        <v>66</v>
      </c>
      <c r="U314" t="s">
        <v>90</v>
      </c>
      <c r="V314" t="s">
        <v>66</v>
      </c>
      <c r="W314" t="s">
        <v>66</v>
      </c>
      <c r="X314" t="s">
        <v>66</v>
      </c>
      <c r="Y314" t="s">
        <v>66</v>
      </c>
      <c r="Z314" s="99" t="str">
        <f t="shared" ca="1" si="23"/>
        <v/>
      </c>
      <c r="AA314" s="101" t="str">
        <f t="shared" ca="1" si="24"/>
        <v/>
      </c>
    </row>
    <row r="315" spans="2:27" ht="27.6" customHeight="1">
      <c r="B315">
        <f t="shared" ca="1" si="20"/>
        <v>0</v>
      </c>
      <c r="C315" t="s">
        <v>36</v>
      </c>
      <c r="G315" s="75">
        <v>1</v>
      </c>
      <c r="J315" s="66" t="str">
        <f t="shared" ca="1" si="21"/>
        <v>14%</v>
      </c>
      <c r="K315" t="s">
        <v>59</v>
      </c>
      <c r="L315" s="66" t="str">
        <f t="shared" ca="1" si="22"/>
        <v>Sin costo</v>
      </c>
      <c r="M315" t="s">
        <v>64</v>
      </c>
      <c r="N315" t="s">
        <v>66</v>
      </c>
      <c r="O315" t="s">
        <v>66</v>
      </c>
      <c r="P315" t="s">
        <v>66</v>
      </c>
      <c r="R315" t="s">
        <v>66</v>
      </c>
      <c r="U315" t="s">
        <v>90</v>
      </c>
      <c r="V315" t="s">
        <v>66</v>
      </c>
      <c r="W315" t="s">
        <v>66</v>
      </c>
      <c r="X315" t="s">
        <v>66</v>
      </c>
      <c r="Y315" t="s">
        <v>66</v>
      </c>
      <c r="Z315" s="99" t="str">
        <f t="shared" ca="1" si="23"/>
        <v/>
      </c>
      <c r="AA315" s="101" t="str">
        <f t="shared" ca="1" si="24"/>
        <v/>
      </c>
    </row>
    <row r="316" spans="2:27" ht="27.6" customHeight="1">
      <c r="B316">
        <f t="shared" ca="1" si="20"/>
        <v>0</v>
      </c>
      <c r="C316" t="s">
        <v>36</v>
      </c>
      <c r="G316" s="75">
        <v>1</v>
      </c>
      <c r="J316" s="66" t="str">
        <f t="shared" ca="1" si="21"/>
        <v>14%</v>
      </c>
      <c r="K316" t="s">
        <v>59</v>
      </c>
      <c r="L316" s="66" t="str">
        <f t="shared" ca="1" si="22"/>
        <v>Sin costo</v>
      </c>
      <c r="M316" t="s">
        <v>64</v>
      </c>
      <c r="N316" t="s">
        <v>66</v>
      </c>
      <c r="O316" t="s">
        <v>66</v>
      </c>
      <c r="P316" t="s">
        <v>66</v>
      </c>
      <c r="R316" t="s">
        <v>66</v>
      </c>
      <c r="U316" t="s">
        <v>90</v>
      </c>
      <c r="V316" t="s">
        <v>66</v>
      </c>
      <c r="W316" t="s">
        <v>66</v>
      </c>
      <c r="X316" t="s">
        <v>66</v>
      </c>
      <c r="Y316" t="s">
        <v>66</v>
      </c>
      <c r="Z316" s="99" t="str">
        <f t="shared" ca="1" si="23"/>
        <v/>
      </c>
      <c r="AA316" s="101" t="str">
        <f t="shared" ca="1" si="24"/>
        <v/>
      </c>
    </row>
    <row r="317" spans="2:27" ht="27.6" customHeight="1">
      <c r="B317">
        <f t="shared" ca="1" si="20"/>
        <v>0</v>
      </c>
      <c r="C317" t="s">
        <v>36</v>
      </c>
      <c r="G317" s="75">
        <v>1</v>
      </c>
      <c r="J317" s="66" t="str">
        <f t="shared" ca="1" si="21"/>
        <v>14%</v>
      </c>
      <c r="K317" t="s">
        <v>59</v>
      </c>
      <c r="L317" s="66" t="str">
        <f t="shared" ca="1" si="22"/>
        <v>Sin costo</v>
      </c>
      <c r="M317" t="s">
        <v>64</v>
      </c>
      <c r="N317" t="s">
        <v>66</v>
      </c>
      <c r="O317" t="s">
        <v>66</v>
      </c>
      <c r="P317" t="s">
        <v>66</v>
      </c>
      <c r="R317" t="s">
        <v>66</v>
      </c>
      <c r="U317" t="s">
        <v>90</v>
      </c>
      <c r="V317" t="s">
        <v>66</v>
      </c>
      <c r="W317" t="s">
        <v>66</v>
      </c>
      <c r="X317" t="s">
        <v>66</v>
      </c>
      <c r="Y317" t="s">
        <v>66</v>
      </c>
      <c r="Z317" s="99" t="str">
        <f t="shared" ca="1" si="23"/>
        <v/>
      </c>
      <c r="AA317" s="101" t="str">
        <f t="shared" ca="1" si="24"/>
        <v/>
      </c>
    </row>
    <row r="318" spans="2:27" ht="27.6" customHeight="1">
      <c r="B318">
        <f t="shared" ca="1" si="20"/>
        <v>0</v>
      </c>
      <c r="C318" t="s">
        <v>36</v>
      </c>
      <c r="G318" s="75">
        <v>1</v>
      </c>
      <c r="J318" s="66" t="str">
        <f t="shared" ca="1" si="21"/>
        <v>14%</v>
      </c>
      <c r="K318" t="s">
        <v>59</v>
      </c>
      <c r="L318" s="66" t="str">
        <f t="shared" ca="1" si="22"/>
        <v>Sin costo</v>
      </c>
      <c r="M318" t="s">
        <v>64</v>
      </c>
      <c r="N318" t="s">
        <v>66</v>
      </c>
      <c r="O318" t="s">
        <v>66</v>
      </c>
      <c r="P318" t="s">
        <v>66</v>
      </c>
      <c r="R318" t="s">
        <v>66</v>
      </c>
      <c r="U318" t="s">
        <v>90</v>
      </c>
      <c r="V318" t="s">
        <v>66</v>
      </c>
      <c r="W318" t="s">
        <v>66</v>
      </c>
      <c r="X318" t="s">
        <v>66</v>
      </c>
      <c r="Y318" t="s">
        <v>66</v>
      </c>
      <c r="Z318" s="99" t="str">
        <f t="shared" ca="1" si="23"/>
        <v/>
      </c>
      <c r="AA318" s="101" t="str">
        <f t="shared" ca="1" si="24"/>
        <v/>
      </c>
    </row>
    <row r="319" spans="2:27" ht="27.6" customHeight="1">
      <c r="B319">
        <f t="shared" ca="1" si="20"/>
        <v>0</v>
      </c>
      <c r="C319" t="s">
        <v>36</v>
      </c>
      <c r="G319" s="75">
        <v>1</v>
      </c>
      <c r="J319" s="66" t="str">
        <f t="shared" ca="1" si="21"/>
        <v>14%</v>
      </c>
      <c r="K319" t="s">
        <v>59</v>
      </c>
      <c r="L319" s="66" t="str">
        <f t="shared" ca="1" si="22"/>
        <v>Sin costo</v>
      </c>
      <c r="M319" t="s">
        <v>64</v>
      </c>
      <c r="N319" t="s">
        <v>66</v>
      </c>
      <c r="O319" t="s">
        <v>66</v>
      </c>
      <c r="P319" t="s">
        <v>66</v>
      </c>
      <c r="R319" t="s">
        <v>66</v>
      </c>
      <c r="U319" t="s">
        <v>90</v>
      </c>
      <c r="V319" t="s">
        <v>66</v>
      </c>
      <c r="W319" t="s">
        <v>66</v>
      </c>
      <c r="X319" t="s">
        <v>66</v>
      </c>
      <c r="Y319" t="s">
        <v>66</v>
      </c>
      <c r="Z319" s="99" t="str">
        <f t="shared" ca="1" si="23"/>
        <v/>
      </c>
      <c r="AA319" s="101" t="str">
        <f t="shared" ca="1" si="24"/>
        <v/>
      </c>
    </row>
    <row r="320" spans="2:27" ht="27.6" customHeight="1">
      <c r="B320">
        <f t="shared" ca="1" si="20"/>
        <v>0</v>
      </c>
      <c r="C320" t="s">
        <v>36</v>
      </c>
      <c r="G320" s="75">
        <v>1</v>
      </c>
      <c r="J320" s="66" t="str">
        <f t="shared" ca="1" si="21"/>
        <v>14%</v>
      </c>
      <c r="K320" t="s">
        <v>59</v>
      </c>
      <c r="L320" s="66" t="str">
        <f t="shared" ca="1" si="22"/>
        <v>Sin costo</v>
      </c>
      <c r="M320" t="s">
        <v>64</v>
      </c>
      <c r="N320" t="s">
        <v>66</v>
      </c>
      <c r="O320" t="s">
        <v>66</v>
      </c>
      <c r="P320" t="s">
        <v>66</v>
      </c>
      <c r="R320" t="s">
        <v>66</v>
      </c>
      <c r="U320" t="s">
        <v>90</v>
      </c>
      <c r="V320" t="s">
        <v>66</v>
      </c>
      <c r="W320" t="s">
        <v>66</v>
      </c>
      <c r="X320" t="s">
        <v>66</v>
      </c>
      <c r="Y320" t="s">
        <v>66</v>
      </c>
      <c r="Z320" s="99" t="str">
        <f t="shared" ca="1" si="23"/>
        <v/>
      </c>
      <c r="AA320" s="101" t="str">
        <f t="shared" ca="1" si="24"/>
        <v/>
      </c>
    </row>
    <row r="321" spans="2:27" ht="27.6" customHeight="1">
      <c r="B321">
        <f t="shared" ca="1" si="20"/>
        <v>0</v>
      </c>
      <c r="C321" t="s">
        <v>36</v>
      </c>
      <c r="G321" s="75">
        <v>1</v>
      </c>
      <c r="J321" s="66" t="str">
        <f t="shared" ca="1" si="21"/>
        <v>14%</v>
      </c>
      <c r="K321" t="s">
        <v>59</v>
      </c>
      <c r="L321" s="66" t="str">
        <f t="shared" ca="1" si="22"/>
        <v>Sin costo</v>
      </c>
      <c r="M321" t="s">
        <v>64</v>
      </c>
      <c r="N321" t="s">
        <v>66</v>
      </c>
      <c r="O321" t="s">
        <v>66</v>
      </c>
      <c r="P321" t="s">
        <v>66</v>
      </c>
      <c r="R321" t="s">
        <v>66</v>
      </c>
      <c r="U321" t="s">
        <v>90</v>
      </c>
      <c r="V321" t="s">
        <v>66</v>
      </c>
      <c r="W321" t="s">
        <v>66</v>
      </c>
      <c r="X321" t="s">
        <v>66</v>
      </c>
      <c r="Y321" t="s">
        <v>66</v>
      </c>
      <c r="Z321" s="99" t="str">
        <f t="shared" ca="1" si="23"/>
        <v/>
      </c>
      <c r="AA321" s="101" t="str">
        <f t="shared" ca="1" si="24"/>
        <v/>
      </c>
    </row>
    <row r="322" spans="2:27" ht="27.6" customHeight="1">
      <c r="B322">
        <f t="shared" ca="1" si="20"/>
        <v>0</v>
      </c>
      <c r="C322" t="s">
        <v>36</v>
      </c>
      <c r="G322" s="75">
        <v>1</v>
      </c>
      <c r="J322" s="66" t="str">
        <f t="shared" ca="1" si="21"/>
        <v>14%</v>
      </c>
      <c r="K322" t="s">
        <v>59</v>
      </c>
      <c r="L322" s="66" t="str">
        <f t="shared" ca="1" si="22"/>
        <v>Sin costo</v>
      </c>
      <c r="M322" t="s">
        <v>64</v>
      </c>
      <c r="N322" t="s">
        <v>66</v>
      </c>
      <c r="O322" t="s">
        <v>66</v>
      </c>
      <c r="P322" t="s">
        <v>66</v>
      </c>
      <c r="R322" t="s">
        <v>66</v>
      </c>
      <c r="U322" t="s">
        <v>90</v>
      </c>
      <c r="V322" t="s">
        <v>66</v>
      </c>
      <c r="W322" t="s">
        <v>66</v>
      </c>
      <c r="X322" t="s">
        <v>66</v>
      </c>
      <c r="Y322" t="s">
        <v>66</v>
      </c>
      <c r="Z322" s="99" t="str">
        <f t="shared" ca="1" si="23"/>
        <v/>
      </c>
      <c r="AA322" s="101" t="str">
        <f t="shared" ca="1" si="24"/>
        <v/>
      </c>
    </row>
    <row r="323" spans="2:27" ht="27.6" customHeight="1">
      <c r="B323">
        <f t="shared" ca="1" si="20"/>
        <v>0</v>
      </c>
      <c r="C323" t="s">
        <v>36</v>
      </c>
      <c r="G323" s="75">
        <v>1</v>
      </c>
      <c r="J323" s="66" t="str">
        <f t="shared" ca="1" si="21"/>
        <v>14%</v>
      </c>
      <c r="K323" t="s">
        <v>59</v>
      </c>
      <c r="L323" s="66" t="str">
        <f t="shared" ca="1" si="22"/>
        <v>Sin costo</v>
      </c>
      <c r="M323" t="s">
        <v>64</v>
      </c>
      <c r="N323" t="s">
        <v>66</v>
      </c>
      <c r="O323" t="s">
        <v>66</v>
      </c>
      <c r="P323" t="s">
        <v>66</v>
      </c>
      <c r="R323" t="s">
        <v>66</v>
      </c>
      <c r="U323" t="s">
        <v>90</v>
      </c>
      <c r="V323" t="s">
        <v>66</v>
      </c>
      <c r="W323" t="s">
        <v>66</v>
      </c>
      <c r="X323" t="s">
        <v>66</v>
      </c>
      <c r="Y323" t="s">
        <v>66</v>
      </c>
      <c r="Z323" s="99" t="str">
        <f t="shared" ca="1" si="23"/>
        <v/>
      </c>
      <c r="AA323" s="101" t="str">
        <f t="shared" ca="1" si="24"/>
        <v/>
      </c>
    </row>
    <row r="324" spans="2:27" ht="27.6" customHeight="1">
      <c r="B324">
        <f t="shared" ca="1" si="20"/>
        <v>0</v>
      </c>
      <c r="C324" t="s">
        <v>36</v>
      </c>
      <c r="G324" s="75">
        <v>1</v>
      </c>
      <c r="J324" s="66" t="str">
        <f t="shared" ca="1" si="21"/>
        <v>14%</v>
      </c>
      <c r="K324" t="s">
        <v>59</v>
      </c>
      <c r="L324" s="66" t="str">
        <f t="shared" ca="1" si="22"/>
        <v>Sin costo</v>
      </c>
      <c r="M324" t="s">
        <v>64</v>
      </c>
      <c r="N324" t="s">
        <v>66</v>
      </c>
      <c r="O324" t="s">
        <v>66</v>
      </c>
      <c r="P324" t="s">
        <v>66</v>
      </c>
      <c r="R324" t="s">
        <v>66</v>
      </c>
      <c r="U324" t="s">
        <v>90</v>
      </c>
      <c r="V324" t="s">
        <v>66</v>
      </c>
      <c r="W324" t="s">
        <v>66</v>
      </c>
      <c r="X324" t="s">
        <v>66</v>
      </c>
      <c r="Y324" t="s">
        <v>66</v>
      </c>
      <c r="Z324" s="99" t="str">
        <f t="shared" ca="1" si="23"/>
        <v/>
      </c>
      <c r="AA324" s="101" t="str">
        <f t="shared" ca="1" si="24"/>
        <v/>
      </c>
    </row>
    <row r="325" spans="2:27" ht="27.6" customHeight="1">
      <c r="B325">
        <f t="shared" ca="1" si="20"/>
        <v>0</v>
      </c>
      <c r="C325" t="s">
        <v>36</v>
      </c>
      <c r="G325" s="75">
        <v>1</v>
      </c>
      <c r="J325" s="66" t="str">
        <f t="shared" ca="1" si="21"/>
        <v>14%</v>
      </c>
      <c r="K325" t="s">
        <v>59</v>
      </c>
      <c r="L325" s="66" t="str">
        <f t="shared" ca="1" si="22"/>
        <v>Sin costo</v>
      </c>
      <c r="M325" t="s">
        <v>64</v>
      </c>
      <c r="N325" t="s">
        <v>66</v>
      </c>
      <c r="O325" t="s">
        <v>66</v>
      </c>
      <c r="P325" t="s">
        <v>66</v>
      </c>
      <c r="R325" t="s">
        <v>66</v>
      </c>
      <c r="U325" t="s">
        <v>90</v>
      </c>
      <c r="V325" t="s">
        <v>66</v>
      </c>
      <c r="W325" t="s">
        <v>66</v>
      </c>
      <c r="X325" t="s">
        <v>66</v>
      </c>
      <c r="Y325" t="s">
        <v>66</v>
      </c>
      <c r="Z325" s="99" t="str">
        <f t="shared" ca="1" si="23"/>
        <v/>
      </c>
      <c r="AA325" s="101" t="str">
        <f t="shared" ca="1" si="24"/>
        <v/>
      </c>
    </row>
    <row r="326" spans="2:27" ht="27.6" customHeight="1">
      <c r="B326">
        <f t="shared" ca="1" si="20"/>
        <v>0</v>
      </c>
      <c r="C326" t="s">
        <v>36</v>
      </c>
      <c r="G326" s="75">
        <v>1</v>
      </c>
      <c r="J326" s="66" t="str">
        <f t="shared" ca="1" si="21"/>
        <v>14%</v>
      </c>
      <c r="K326" t="s">
        <v>59</v>
      </c>
      <c r="L326" s="66" t="str">
        <f t="shared" ca="1" si="22"/>
        <v>Sin costo</v>
      </c>
      <c r="M326" t="s">
        <v>64</v>
      </c>
      <c r="N326" t="s">
        <v>66</v>
      </c>
      <c r="O326" t="s">
        <v>66</v>
      </c>
      <c r="P326" t="s">
        <v>66</v>
      </c>
      <c r="R326" t="s">
        <v>66</v>
      </c>
      <c r="U326" t="s">
        <v>90</v>
      </c>
      <c r="V326" t="s">
        <v>66</v>
      </c>
      <c r="W326" t="s">
        <v>66</v>
      </c>
      <c r="X326" t="s">
        <v>66</v>
      </c>
      <c r="Y326" t="s">
        <v>66</v>
      </c>
      <c r="Z326" s="99" t="str">
        <f t="shared" ca="1" si="23"/>
        <v/>
      </c>
      <c r="AA326" s="101" t="str">
        <f t="shared" ca="1" si="24"/>
        <v/>
      </c>
    </row>
    <row r="327" spans="2:27" ht="27.6" customHeight="1">
      <c r="B327">
        <f t="shared" ref="B327:B390" ca="1" si="25">LEN(INDIRECT(ADDRESS(ROW() + (0),COLUMN() + (-1))))</f>
        <v>0</v>
      </c>
      <c r="C327" t="s">
        <v>36</v>
      </c>
      <c r="G327" s="75">
        <v>1</v>
      </c>
      <c r="J327" s="66" t="str">
        <f t="shared" ref="J327:J390" ca="1" si="26">IF(INDIRECT(ADDRESS(ROW() + (0),COLUMN() + (1)))="Agregar cuotas", IF(("14%")="", "-", "14%"), IF(INDIRECT(ADDRESS(ROW() + (0),COLUMN() + (1)))="No agregar cuotas", IF(("14%")="", "-", "14%"), "-"))</f>
        <v>14%</v>
      </c>
      <c r="K327" t="s">
        <v>59</v>
      </c>
      <c r="L327" s="66" t="str">
        <f t="shared" ref="L327:L390" ca="1" si="27">IF(INDIRECT(ADDRESS(ROW() + (0),COLUMN() + (-1)))="Agregar cuotas", IF(("13.9%")="", "Sin costo", "13.9%"), IF(INDIRECT(ADDRESS(ROW() + (0),COLUMN() + (-1)))="No agregar cuotas", IF(("")="", "Sin costo", ""), "-"))</f>
        <v>Sin costo</v>
      </c>
      <c r="M327" t="s">
        <v>64</v>
      </c>
      <c r="N327" t="s">
        <v>66</v>
      </c>
      <c r="O327" t="s">
        <v>66</v>
      </c>
      <c r="P327" t="s">
        <v>66</v>
      </c>
      <c r="R327" t="s">
        <v>66</v>
      </c>
      <c r="U327" t="s">
        <v>90</v>
      </c>
      <c r="V327" t="s">
        <v>66</v>
      </c>
      <c r="W327" t="s">
        <v>66</v>
      </c>
      <c r="X327" t="s">
        <v>66</v>
      </c>
      <c r="Y327" t="s">
        <v>66</v>
      </c>
      <c r="Z327" s="99" t="str">
        <f t="shared" ref="Z327:Z390" ca="1" si="2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327" s="101" t="str">
        <f t="shared" ref="AA327:AA390" ca="1" si="29">IF(TRIM(INDIRECT("A"&amp;ROW())) &lt;&gt; "",FALSE,"")</f>
        <v/>
      </c>
    </row>
    <row r="328" spans="2:27" ht="27.6" customHeight="1">
      <c r="B328">
        <f t="shared" ca="1" si="25"/>
        <v>0</v>
      </c>
      <c r="C328" t="s">
        <v>36</v>
      </c>
      <c r="G328" s="75">
        <v>1</v>
      </c>
      <c r="J328" s="66" t="str">
        <f t="shared" ca="1" si="26"/>
        <v>14%</v>
      </c>
      <c r="K328" t="s">
        <v>59</v>
      </c>
      <c r="L328" s="66" t="str">
        <f t="shared" ca="1" si="27"/>
        <v>Sin costo</v>
      </c>
      <c r="M328" t="s">
        <v>64</v>
      </c>
      <c r="N328" t="s">
        <v>66</v>
      </c>
      <c r="O328" t="s">
        <v>66</v>
      </c>
      <c r="P328" t="s">
        <v>66</v>
      </c>
      <c r="R328" t="s">
        <v>66</v>
      </c>
      <c r="U328" t="s">
        <v>90</v>
      </c>
      <c r="V328" t="s">
        <v>66</v>
      </c>
      <c r="W328" t="s">
        <v>66</v>
      </c>
      <c r="X328" t="s">
        <v>66</v>
      </c>
      <c r="Y328" t="s">
        <v>66</v>
      </c>
      <c r="Z328" s="99" t="str">
        <f t="shared" ca="1" si="28"/>
        <v/>
      </c>
      <c r="AA328" s="101" t="str">
        <f t="shared" ca="1" si="29"/>
        <v/>
      </c>
    </row>
    <row r="329" spans="2:27" ht="27.6" customHeight="1">
      <c r="B329">
        <f t="shared" ca="1" si="25"/>
        <v>0</v>
      </c>
      <c r="C329" t="s">
        <v>36</v>
      </c>
      <c r="G329" s="75">
        <v>1</v>
      </c>
      <c r="J329" s="66" t="str">
        <f t="shared" ca="1" si="26"/>
        <v>14%</v>
      </c>
      <c r="K329" t="s">
        <v>59</v>
      </c>
      <c r="L329" s="66" t="str">
        <f t="shared" ca="1" si="27"/>
        <v>Sin costo</v>
      </c>
      <c r="M329" t="s">
        <v>64</v>
      </c>
      <c r="N329" t="s">
        <v>66</v>
      </c>
      <c r="O329" t="s">
        <v>66</v>
      </c>
      <c r="P329" t="s">
        <v>66</v>
      </c>
      <c r="R329" t="s">
        <v>66</v>
      </c>
      <c r="U329" t="s">
        <v>90</v>
      </c>
      <c r="V329" t="s">
        <v>66</v>
      </c>
      <c r="W329" t="s">
        <v>66</v>
      </c>
      <c r="X329" t="s">
        <v>66</v>
      </c>
      <c r="Y329" t="s">
        <v>66</v>
      </c>
      <c r="Z329" s="99" t="str">
        <f t="shared" ca="1" si="28"/>
        <v/>
      </c>
      <c r="AA329" s="101" t="str">
        <f t="shared" ca="1" si="29"/>
        <v/>
      </c>
    </row>
    <row r="330" spans="2:27" ht="27.6" customHeight="1">
      <c r="B330">
        <f t="shared" ca="1" si="25"/>
        <v>0</v>
      </c>
      <c r="C330" t="s">
        <v>36</v>
      </c>
      <c r="G330" s="75">
        <v>1</v>
      </c>
      <c r="J330" s="66" t="str">
        <f t="shared" ca="1" si="26"/>
        <v>14%</v>
      </c>
      <c r="K330" t="s">
        <v>59</v>
      </c>
      <c r="L330" s="66" t="str">
        <f t="shared" ca="1" si="27"/>
        <v>Sin costo</v>
      </c>
      <c r="M330" t="s">
        <v>64</v>
      </c>
      <c r="N330" t="s">
        <v>66</v>
      </c>
      <c r="O330" t="s">
        <v>66</v>
      </c>
      <c r="P330" t="s">
        <v>66</v>
      </c>
      <c r="R330" t="s">
        <v>66</v>
      </c>
      <c r="U330" t="s">
        <v>90</v>
      </c>
      <c r="V330" t="s">
        <v>66</v>
      </c>
      <c r="W330" t="s">
        <v>66</v>
      </c>
      <c r="X330" t="s">
        <v>66</v>
      </c>
      <c r="Y330" t="s">
        <v>66</v>
      </c>
      <c r="Z330" s="99" t="str">
        <f t="shared" ca="1" si="28"/>
        <v/>
      </c>
      <c r="AA330" s="101" t="str">
        <f t="shared" ca="1" si="29"/>
        <v/>
      </c>
    </row>
    <row r="331" spans="2:27" ht="27.6" customHeight="1">
      <c r="B331">
        <f t="shared" ca="1" si="25"/>
        <v>0</v>
      </c>
      <c r="C331" t="s">
        <v>36</v>
      </c>
      <c r="G331" s="75">
        <v>1</v>
      </c>
      <c r="J331" s="66" t="str">
        <f t="shared" ca="1" si="26"/>
        <v>14%</v>
      </c>
      <c r="K331" t="s">
        <v>59</v>
      </c>
      <c r="L331" s="66" t="str">
        <f t="shared" ca="1" si="27"/>
        <v>Sin costo</v>
      </c>
      <c r="M331" t="s">
        <v>64</v>
      </c>
      <c r="N331" t="s">
        <v>66</v>
      </c>
      <c r="O331" t="s">
        <v>66</v>
      </c>
      <c r="P331" t="s">
        <v>66</v>
      </c>
      <c r="R331" t="s">
        <v>66</v>
      </c>
      <c r="U331" t="s">
        <v>90</v>
      </c>
      <c r="V331" t="s">
        <v>66</v>
      </c>
      <c r="W331" t="s">
        <v>66</v>
      </c>
      <c r="X331" t="s">
        <v>66</v>
      </c>
      <c r="Y331" t="s">
        <v>66</v>
      </c>
      <c r="Z331" s="99" t="str">
        <f t="shared" ca="1" si="28"/>
        <v/>
      </c>
      <c r="AA331" s="101" t="str">
        <f t="shared" ca="1" si="29"/>
        <v/>
      </c>
    </row>
    <row r="332" spans="2:27" ht="27.6" customHeight="1">
      <c r="B332">
        <f t="shared" ca="1" si="25"/>
        <v>0</v>
      </c>
      <c r="C332" t="s">
        <v>36</v>
      </c>
      <c r="G332" s="75">
        <v>1</v>
      </c>
      <c r="J332" s="66" t="str">
        <f t="shared" ca="1" si="26"/>
        <v>14%</v>
      </c>
      <c r="K332" t="s">
        <v>59</v>
      </c>
      <c r="L332" s="66" t="str">
        <f t="shared" ca="1" si="27"/>
        <v>Sin costo</v>
      </c>
      <c r="M332" t="s">
        <v>64</v>
      </c>
      <c r="N332" t="s">
        <v>66</v>
      </c>
      <c r="O332" t="s">
        <v>66</v>
      </c>
      <c r="P332" t="s">
        <v>66</v>
      </c>
      <c r="R332" t="s">
        <v>66</v>
      </c>
      <c r="U332" t="s">
        <v>90</v>
      </c>
      <c r="V332" t="s">
        <v>66</v>
      </c>
      <c r="W332" t="s">
        <v>66</v>
      </c>
      <c r="X332" t="s">
        <v>66</v>
      </c>
      <c r="Y332" t="s">
        <v>66</v>
      </c>
      <c r="Z332" s="99" t="str">
        <f t="shared" ca="1" si="28"/>
        <v/>
      </c>
      <c r="AA332" s="101" t="str">
        <f t="shared" ca="1" si="29"/>
        <v/>
      </c>
    </row>
    <row r="333" spans="2:27" ht="27.6" customHeight="1">
      <c r="B333">
        <f t="shared" ca="1" si="25"/>
        <v>0</v>
      </c>
      <c r="C333" t="s">
        <v>36</v>
      </c>
      <c r="G333" s="75">
        <v>1</v>
      </c>
      <c r="J333" s="66" t="str">
        <f t="shared" ca="1" si="26"/>
        <v>14%</v>
      </c>
      <c r="K333" t="s">
        <v>59</v>
      </c>
      <c r="L333" s="66" t="str">
        <f t="shared" ca="1" si="27"/>
        <v>Sin costo</v>
      </c>
      <c r="M333" t="s">
        <v>64</v>
      </c>
      <c r="N333" t="s">
        <v>66</v>
      </c>
      <c r="O333" t="s">
        <v>66</v>
      </c>
      <c r="P333" t="s">
        <v>66</v>
      </c>
      <c r="R333" t="s">
        <v>66</v>
      </c>
      <c r="U333" t="s">
        <v>90</v>
      </c>
      <c r="V333" t="s">
        <v>66</v>
      </c>
      <c r="W333" t="s">
        <v>66</v>
      </c>
      <c r="X333" t="s">
        <v>66</v>
      </c>
      <c r="Y333" t="s">
        <v>66</v>
      </c>
      <c r="Z333" s="99" t="str">
        <f t="shared" ca="1" si="28"/>
        <v/>
      </c>
      <c r="AA333" s="101" t="str">
        <f t="shared" ca="1" si="29"/>
        <v/>
      </c>
    </row>
    <row r="334" spans="2:27" ht="27.6" customHeight="1">
      <c r="B334">
        <f t="shared" ca="1" si="25"/>
        <v>0</v>
      </c>
      <c r="C334" t="s">
        <v>36</v>
      </c>
      <c r="G334" s="75">
        <v>1</v>
      </c>
      <c r="J334" s="66" t="str">
        <f t="shared" ca="1" si="26"/>
        <v>14%</v>
      </c>
      <c r="K334" t="s">
        <v>59</v>
      </c>
      <c r="L334" s="66" t="str">
        <f t="shared" ca="1" si="27"/>
        <v>Sin costo</v>
      </c>
      <c r="M334" t="s">
        <v>64</v>
      </c>
      <c r="N334" t="s">
        <v>66</v>
      </c>
      <c r="O334" t="s">
        <v>66</v>
      </c>
      <c r="P334" t="s">
        <v>66</v>
      </c>
      <c r="R334" t="s">
        <v>66</v>
      </c>
      <c r="U334" t="s">
        <v>90</v>
      </c>
      <c r="V334" t="s">
        <v>66</v>
      </c>
      <c r="W334" t="s">
        <v>66</v>
      </c>
      <c r="X334" t="s">
        <v>66</v>
      </c>
      <c r="Y334" t="s">
        <v>66</v>
      </c>
      <c r="Z334" s="99" t="str">
        <f t="shared" ca="1" si="28"/>
        <v/>
      </c>
      <c r="AA334" s="101" t="str">
        <f t="shared" ca="1" si="29"/>
        <v/>
      </c>
    </row>
    <row r="335" spans="2:27" ht="27.6" customHeight="1">
      <c r="B335">
        <f t="shared" ca="1" si="25"/>
        <v>0</v>
      </c>
      <c r="C335" t="s">
        <v>36</v>
      </c>
      <c r="G335" s="75">
        <v>1</v>
      </c>
      <c r="J335" s="66" t="str">
        <f t="shared" ca="1" si="26"/>
        <v>14%</v>
      </c>
      <c r="K335" t="s">
        <v>59</v>
      </c>
      <c r="L335" s="66" t="str">
        <f t="shared" ca="1" si="27"/>
        <v>Sin costo</v>
      </c>
      <c r="M335" t="s">
        <v>64</v>
      </c>
      <c r="N335" t="s">
        <v>66</v>
      </c>
      <c r="O335" t="s">
        <v>66</v>
      </c>
      <c r="P335" t="s">
        <v>66</v>
      </c>
      <c r="R335" t="s">
        <v>66</v>
      </c>
      <c r="U335" t="s">
        <v>90</v>
      </c>
      <c r="V335" t="s">
        <v>66</v>
      </c>
      <c r="W335" t="s">
        <v>66</v>
      </c>
      <c r="X335" t="s">
        <v>66</v>
      </c>
      <c r="Y335" t="s">
        <v>66</v>
      </c>
      <c r="Z335" s="99" t="str">
        <f t="shared" ca="1" si="28"/>
        <v/>
      </c>
      <c r="AA335" s="101" t="str">
        <f t="shared" ca="1" si="29"/>
        <v/>
      </c>
    </row>
    <row r="336" spans="2:27" ht="27.6" customHeight="1">
      <c r="B336">
        <f t="shared" ca="1" si="25"/>
        <v>0</v>
      </c>
      <c r="C336" t="s">
        <v>36</v>
      </c>
      <c r="G336" s="75">
        <v>1</v>
      </c>
      <c r="J336" s="66" t="str">
        <f t="shared" ca="1" si="26"/>
        <v>14%</v>
      </c>
      <c r="K336" t="s">
        <v>59</v>
      </c>
      <c r="L336" s="66" t="str">
        <f t="shared" ca="1" si="27"/>
        <v>Sin costo</v>
      </c>
      <c r="M336" t="s">
        <v>64</v>
      </c>
      <c r="N336" t="s">
        <v>66</v>
      </c>
      <c r="O336" t="s">
        <v>66</v>
      </c>
      <c r="P336" t="s">
        <v>66</v>
      </c>
      <c r="R336" t="s">
        <v>66</v>
      </c>
      <c r="U336" t="s">
        <v>90</v>
      </c>
      <c r="V336" t="s">
        <v>66</v>
      </c>
      <c r="W336" t="s">
        <v>66</v>
      </c>
      <c r="X336" t="s">
        <v>66</v>
      </c>
      <c r="Y336" t="s">
        <v>66</v>
      </c>
      <c r="Z336" s="99" t="str">
        <f t="shared" ca="1" si="28"/>
        <v/>
      </c>
      <c r="AA336" s="101" t="str">
        <f t="shared" ca="1" si="29"/>
        <v/>
      </c>
    </row>
    <row r="337" spans="2:27" ht="27.6" customHeight="1">
      <c r="B337">
        <f t="shared" ca="1" si="25"/>
        <v>0</v>
      </c>
      <c r="C337" t="s">
        <v>36</v>
      </c>
      <c r="G337" s="75">
        <v>1</v>
      </c>
      <c r="J337" s="66" t="str">
        <f t="shared" ca="1" si="26"/>
        <v>14%</v>
      </c>
      <c r="K337" t="s">
        <v>59</v>
      </c>
      <c r="L337" s="66" t="str">
        <f t="shared" ca="1" si="27"/>
        <v>Sin costo</v>
      </c>
      <c r="M337" t="s">
        <v>64</v>
      </c>
      <c r="N337" t="s">
        <v>66</v>
      </c>
      <c r="O337" t="s">
        <v>66</v>
      </c>
      <c r="P337" t="s">
        <v>66</v>
      </c>
      <c r="R337" t="s">
        <v>66</v>
      </c>
      <c r="U337" t="s">
        <v>90</v>
      </c>
      <c r="V337" t="s">
        <v>66</v>
      </c>
      <c r="W337" t="s">
        <v>66</v>
      </c>
      <c r="X337" t="s">
        <v>66</v>
      </c>
      <c r="Y337" t="s">
        <v>66</v>
      </c>
      <c r="Z337" s="99" t="str">
        <f t="shared" ca="1" si="28"/>
        <v/>
      </c>
      <c r="AA337" s="101" t="str">
        <f t="shared" ca="1" si="29"/>
        <v/>
      </c>
    </row>
    <row r="338" spans="2:27" ht="27.6" customHeight="1">
      <c r="B338">
        <f t="shared" ca="1" si="25"/>
        <v>0</v>
      </c>
      <c r="C338" t="s">
        <v>36</v>
      </c>
      <c r="G338" s="75">
        <v>1</v>
      </c>
      <c r="J338" s="66" t="str">
        <f t="shared" ca="1" si="26"/>
        <v>14%</v>
      </c>
      <c r="K338" t="s">
        <v>59</v>
      </c>
      <c r="L338" s="66" t="str">
        <f t="shared" ca="1" si="27"/>
        <v>Sin costo</v>
      </c>
      <c r="M338" t="s">
        <v>64</v>
      </c>
      <c r="N338" t="s">
        <v>66</v>
      </c>
      <c r="O338" t="s">
        <v>66</v>
      </c>
      <c r="P338" t="s">
        <v>66</v>
      </c>
      <c r="R338" t="s">
        <v>66</v>
      </c>
      <c r="U338" t="s">
        <v>90</v>
      </c>
      <c r="V338" t="s">
        <v>66</v>
      </c>
      <c r="W338" t="s">
        <v>66</v>
      </c>
      <c r="X338" t="s">
        <v>66</v>
      </c>
      <c r="Y338" t="s">
        <v>66</v>
      </c>
      <c r="Z338" s="99" t="str">
        <f t="shared" ca="1" si="28"/>
        <v/>
      </c>
      <c r="AA338" s="101" t="str">
        <f t="shared" ca="1" si="29"/>
        <v/>
      </c>
    </row>
    <row r="339" spans="2:27" ht="27.6" customHeight="1">
      <c r="B339">
        <f t="shared" ca="1" si="25"/>
        <v>0</v>
      </c>
      <c r="C339" t="s">
        <v>36</v>
      </c>
      <c r="G339" s="75">
        <v>1</v>
      </c>
      <c r="J339" s="66" t="str">
        <f t="shared" ca="1" si="26"/>
        <v>14%</v>
      </c>
      <c r="K339" t="s">
        <v>59</v>
      </c>
      <c r="L339" s="66" t="str">
        <f t="shared" ca="1" si="27"/>
        <v>Sin costo</v>
      </c>
      <c r="M339" t="s">
        <v>64</v>
      </c>
      <c r="N339" t="s">
        <v>66</v>
      </c>
      <c r="O339" t="s">
        <v>66</v>
      </c>
      <c r="P339" t="s">
        <v>66</v>
      </c>
      <c r="R339" t="s">
        <v>66</v>
      </c>
      <c r="U339" t="s">
        <v>90</v>
      </c>
      <c r="V339" t="s">
        <v>66</v>
      </c>
      <c r="W339" t="s">
        <v>66</v>
      </c>
      <c r="X339" t="s">
        <v>66</v>
      </c>
      <c r="Y339" t="s">
        <v>66</v>
      </c>
      <c r="Z339" s="99" t="str">
        <f t="shared" ca="1" si="28"/>
        <v/>
      </c>
      <c r="AA339" s="101" t="str">
        <f t="shared" ca="1" si="29"/>
        <v/>
      </c>
    </row>
    <row r="340" spans="2:27" ht="27.6" customHeight="1">
      <c r="B340">
        <f t="shared" ca="1" si="25"/>
        <v>0</v>
      </c>
      <c r="C340" t="s">
        <v>36</v>
      </c>
      <c r="G340" s="75">
        <v>1</v>
      </c>
      <c r="J340" s="66" t="str">
        <f t="shared" ca="1" si="26"/>
        <v>14%</v>
      </c>
      <c r="K340" t="s">
        <v>59</v>
      </c>
      <c r="L340" s="66" t="str">
        <f t="shared" ca="1" si="27"/>
        <v>Sin costo</v>
      </c>
      <c r="M340" t="s">
        <v>64</v>
      </c>
      <c r="N340" t="s">
        <v>66</v>
      </c>
      <c r="O340" t="s">
        <v>66</v>
      </c>
      <c r="P340" t="s">
        <v>66</v>
      </c>
      <c r="R340" t="s">
        <v>66</v>
      </c>
      <c r="U340" t="s">
        <v>90</v>
      </c>
      <c r="V340" t="s">
        <v>66</v>
      </c>
      <c r="W340" t="s">
        <v>66</v>
      </c>
      <c r="X340" t="s">
        <v>66</v>
      </c>
      <c r="Y340" t="s">
        <v>66</v>
      </c>
      <c r="Z340" s="99" t="str">
        <f t="shared" ca="1" si="28"/>
        <v/>
      </c>
      <c r="AA340" s="101" t="str">
        <f t="shared" ca="1" si="29"/>
        <v/>
      </c>
    </row>
    <row r="341" spans="2:27" ht="27.6" customHeight="1">
      <c r="B341">
        <f t="shared" ca="1" si="25"/>
        <v>0</v>
      </c>
      <c r="C341" t="s">
        <v>36</v>
      </c>
      <c r="G341" s="75">
        <v>1</v>
      </c>
      <c r="J341" s="66" t="str">
        <f t="shared" ca="1" si="26"/>
        <v>14%</v>
      </c>
      <c r="K341" t="s">
        <v>59</v>
      </c>
      <c r="L341" s="66" t="str">
        <f t="shared" ca="1" si="27"/>
        <v>Sin costo</v>
      </c>
      <c r="M341" t="s">
        <v>64</v>
      </c>
      <c r="N341" t="s">
        <v>66</v>
      </c>
      <c r="O341" t="s">
        <v>66</v>
      </c>
      <c r="P341" t="s">
        <v>66</v>
      </c>
      <c r="R341" t="s">
        <v>66</v>
      </c>
      <c r="U341" t="s">
        <v>90</v>
      </c>
      <c r="V341" t="s">
        <v>66</v>
      </c>
      <c r="W341" t="s">
        <v>66</v>
      </c>
      <c r="X341" t="s">
        <v>66</v>
      </c>
      <c r="Y341" t="s">
        <v>66</v>
      </c>
      <c r="Z341" s="99" t="str">
        <f t="shared" ca="1" si="28"/>
        <v/>
      </c>
      <c r="AA341" s="101" t="str">
        <f t="shared" ca="1" si="29"/>
        <v/>
      </c>
    </row>
    <row r="342" spans="2:27" ht="27.6" customHeight="1">
      <c r="B342">
        <f t="shared" ca="1" si="25"/>
        <v>0</v>
      </c>
      <c r="C342" t="s">
        <v>36</v>
      </c>
      <c r="G342" s="75">
        <v>1</v>
      </c>
      <c r="J342" s="66" t="str">
        <f t="shared" ca="1" si="26"/>
        <v>14%</v>
      </c>
      <c r="K342" t="s">
        <v>59</v>
      </c>
      <c r="L342" s="66" t="str">
        <f t="shared" ca="1" si="27"/>
        <v>Sin costo</v>
      </c>
      <c r="M342" t="s">
        <v>64</v>
      </c>
      <c r="N342" t="s">
        <v>66</v>
      </c>
      <c r="O342" t="s">
        <v>66</v>
      </c>
      <c r="P342" t="s">
        <v>66</v>
      </c>
      <c r="R342" t="s">
        <v>66</v>
      </c>
      <c r="U342" t="s">
        <v>90</v>
      </c>
      <c r="V342" t="s">
        <v>66</v>
      </c>
      <c r="W342" t="s">
        <v>66</v>
      </c>
      <c r="X342" t="s">
        <v>66</v>
      </c>
      <c r="Y342" t="s">
        <v>66</v>
      </c>
      <c r="Z342" s="99" t="str">
        <f t="shared" ca="1" si="28"/>
        <v/>
      </c>
      <c r="AA342" s="101" t="str">
        <f t="shared" ca="1" si="29"/>
        <v/>
      </c>
    </row>
    <row r="343" spans="2:27" ht="27.6" customHeight="1">
      <c r="B343">
        <f t="shared" ca="1" si="25"/>
        <v>0</v>
      </c>
      <c r="C343" t="s">
        <v>36</v>
      </c>
      <c r="G343" s="75">
        <v>1</v>
      </c>
      <c r="J343" s="66" t="str">
        <f t="shared" ca="1" si="26"/>
        <v>14%</v>
      </c>
      <c r="K343" t="s">
        <v>59</v>
      </c>
      <c r="L343" s="66" t="str">
        <f t="shared" ca="1" si="27"/>
        <v>Sin costo</v>
      </c>
      <c r="M343" t="s">
        <v>64</v>
      </c>
      <c r="N343" t="s">
        <v>66</v>
      </c>
      <c r="O343" t="s">
        <v>66</v>
      </c>
      <c r="P343" t="s">
        <v>66</v>
      </c>
      <c r="R343" t="s">
        <v>66</v>
      </c>
      <c r="U343" t="s">
        <v>90</v>
      </c>
      <c r="V343" t="s">
        <v>66</v>
      </c>
      <c r="W343" t="s">
        <v>66</v>
      </c>
      <c r="X343" t="s">
        <v>66</v>
      </c>
      <c r="Y343" t="s">
        <v>66</v>
      </c>
      <c r="Z343" s="99" t="str">
        <f t="shared" ca="1" si="28"/>
        <v/>
      </c>
      <c r="AA343" s="101" t="str">
        <f t="shared" ca="1" si="29"/>
        <v/>
      </c>
    </row>
    <row r="344" spans="2:27" ht="27.6" customHeight="1">
      <c r="B344">
        <f t="shared" ca="1" si="25"/>
        <v>0</v>
      </c>
      <c r="C344" t="s">
        <v>36</v>
      </c>
      <c r="G344" s="75">
        <v>1</v>
      </c>
      <c r="J344" s="66" t="str">
        <f t="shared" ca="1" si="26"/>
        <v>14%</v>
      </c>
      <c r="K344" t="s">
        <v>59</v>
      </c>
      <c r="L344" s="66" t="str">
        <f t="shared" ca="1" si="27"/>
        <v>Sin costo</v>
      </c>
      <c r="M344" t="s">
        <v>64</v>
      </c>
      <c r="N344" t="s">
        <v>66</v>
      </c>
      <c r="O344" t="s">
        <v>66</v>
      </c>
      <c r="P344" t="s">
        <v>66</v>
      </c>
      <c r="R344" t="s">
        <v>66</v>
      </c>
      <c r="U344" t="s">
        <v>90</v>
      </c>
      <c r="V344" t="s">
        <v>66</v>
      </c>
      <c r="W344" t="s">
        <v>66</v>
      </c>
      <c r="X344" t="s">
        <v>66</v>
      </c>
      <c r="Y344" t="s">
        <v>66</v>
      </c>
      <c r="Z344" s="99" t="str">
        <f t="shared" ca="1" si="28"/>
        <v/>
      </c>
      <c r="AA344" s="101" t="str">
        <f t="shared" ca="1" si="29"/>
        <v/>
      </c>
    </row>
    <row r="345" spans="2:27" ht="27.6" customHeight="1">
      <c r="B345">
        <f t="shared" ca="1" si="25"/>
        <v>0</v>
      </c>
      <c r="C345" t="s">
        <v>36</v>
      </c>
      <c r="G345" s="75">
        <v>1</v>
      </c>
      <c r="J345" s="66" t="str">
        <f t="shared" ca="1" si="26"/>
        <v>14%</v>
      </c>
      <c r="K345" t="s">
        <v>59</v>
      </c>
      <c r="L345" s="66" t="str">
        <f t="shared" ca="1" si="27"/>
        <v>Sin costo</v>
      </c>
      <c r="M345" t="s">
        <v>64</v>
      </c>
      <c r="N345" t="s">
        <v>66</v>
      </c>
      <c r="O345" t="s">
        <v>66</v>
      </c>
      <c r="P345" t="s">
        <v>66</v>
      </c>
      <c r="R345" t="s">
        <v>66</v>
      </c>
      <c r="U345" t="s">
        <v>90</v>
      </c>
      <c r="V345" t="s">
        <v>66</v>
      </c>
      <c r="W345" t="s">
        <v>66</v>
      </c>
      <c r="X345" t="s">
        <v>66</v>
      </c>
      <c r="Y345" t="s">
        <v>66</v>
      </c>
      <c r="Z345" s="99" t="str">
        <f t="shared" ca="1" si="28"/>
        <v/>
      </c>
      <c r="AA345" s="101" t="str">
        <f t="shared" ca="1" si="29"/>
        <v/>
      </c>
    </row>
    <row r="346" spans="2:27" ht="27.6" customHeight="1">
      <c r="B346">
        <f t="shared" ca="1" si="25"/>
        <v>0</v>
      </c>
      <c r="C346" t="s">
        <v>36</v>
      </c>
      <c r="G346" s="75">
        <v>1</v>
      </c>
      <c r="J346" s="66" t="str">
        <f t="shared" ca="1" si="26"/>
        <v>14%</v>
      </c>
      <c r="K346" t="s">
        <v>59</v>
      </c>
      <c r="L346" s="66" t="str">
        <f t="shared" ca="1" si="27"/>
        <v>Sin costo</v>
      </c>
      <c r="M346" t="s">
        <v>64</v>
      </c>
      <c r="N346" t="s">
        <v>66</v>
      </c>
      <c r="O346" t="s">
        <v>66</v>
      </c>
      <c r="P346" t="s">
        <v>66</v>
      </c>
      <c r="R346" t="s">
        <v>66</v>
      </c>
      <c r="U346" t="s">
        <v>90</v>
      </c>
      <c r="V346" t="s">
        <v>66</v>
      </c>
      <c r="W346" t="s">
        <v>66</v>
      </c>
      <c r="X346" t="s">
        <v>66</v>
      </c>
      <c r="Y346" t="s">
        <v>66</v>
      </c>
      <c r="Z346" s="99" t="str">
        <f t="shared" ca="1" si="28"/>
        <v/>
      </c>
      <c r="AA346" s="101" t="str">
        <f t="shared" ca="1" si="29"/>
        <v/>
      </c>
    </row>
    <row r="347" spans="2:27" ht="27.6" customHeight="1">
      <c r="B347">
        <f t="shared" ca="1" si="25"/>
        <v>0</v>
      </c>
      <c r="C347" t="s">
        <v>36</v>
      </c>
      <c r="G347" s="75">
        <v>1</v>
      </c>
      <c r="J347" s="66" t="str">
        <f t="shared" ca="1" si="26"/>
        <v>14%</v>
      </c>
      <c r="K347" t="s">
        <v>59</v>
      </c>
      <c r="L347" s="66" t="str">
        <f t="shared" ca="1" si="27"/>
        <v>Sin costo</v>
      </c>
      <c r="M347" t="s">
        <v>64</v>
      </c>
      <c r="N347" t="s">
        <v>66</v>
      </c>
      <c r="O347" t="s">
        <v>66</v>
      </c>
      <c r="P347" t="s">
        <v>66</v>
      </c>
      <c r="R347" t="s">
        <v>66</v>
      </c>
      <c r="U347" t="s">
        <v>90</v>
      </c>
      <c r="V347" t="s">
        <v>66</v>
      </c>
      <c r="W347" t="s">
        <v>66</v>
      </c>
      <c r="X347" t="s">
        <v>66</v>
      </c>
      <c r="Y347" t="s">
        <v>66</v>
      </c>
      <c r="Z347" s="99" t="str">
        <f t="shared" ca="1" si="28"/>
        <v/>
      </c>
      <c r="AA347" s="101" t="str">
        <f t="shared" ca="1" si="29"/>
        <v/>
      </c>
    </row>
    <row r="348" spans="2:27" ht="27.6" customHeight="1">
      <c r="B348">
        <f t="shared" ca="1" si="25"/>
        <v>0</v>
      </c>
      <c r="C348" t="s">
        <v>36</v>
      </c>
      <c r="G348" s="75">
        <v>1</v>
      </c>
      <c r="J348" s="66" t="str">
        <f t="shared" ca="1" si="26"/>
        <v>14%</v>
      </c>
      <c r="K348" t="s">
        <v>59</v>
      </c>
      <c r="L348" s="66" t="str">
        <f t="shared" ca="1" si="27"/>
        <v>Sin costo</v>
      </c>
      <c r="M348" t="s">
        <v>64</v>
      </c>
      <c r="N348" t="s">
        <v>66</v>
      </c>
      <c r="O348" t="s">
        <v>66</v>
      </c>
      <c r="P348" t="s">
        <v>66</v>
      </c>
      <c r="R348" t="s">
        <v>66</v>
      </c>
      <c r="U348" t="s">
        <v>90</v>
      </c>
      <c r="V348" t="s">
        <v>66</v>
      </c>
      <c r="W348" t="s">
        <v>66</v>
      </c>
      <c r="X348" t="s">
        <v>66</v>
      </c>
      <c r="Y348" t="s">
        <v>66</v>
      </c>
      <c r="Z348" s="99" t="str">
        <f t="shared" ca="1" si="28"/>
        <v/>
      </c>
      <c r="AA348" s="101" t="str">
        <f t="shared" ca="1" si="29"/>
        <v/>
      </c>
    </row>
    <row r="349" spans="2:27" ht="27.6" customHeight="1">
      <c r="B349">
        <f t="shared" ca="1" si="25"/>
        <v>0</v>
      </c>
      <c r="C349" t="s">
        <v>36</v>
      </c>
      <c r="G349" s="75">
        <v>1</v>
      </c>
      <c r="J349" s="66" t="str">
        <f t="shared" ca="1" si="26"/>
        <v>14%</v>
      </c>
      <c r="K349" t="s">
        <v>59</v>
      </c>
      <c r="L349" s="66" t="str">
        <f t="shared" ca="1" si="27"/>
        <v>Sin costo</v>
      </c>
      <c r="M349" t="s">
        <v>64</v>
      </c>
      <c r="N349" t="s">
        <v>66</v>
      </c>
      <c r="O349" t="s">
        <v>66</v>
      </c>
      <c r="P349" t="s">
        <v>66</v>
      </c>
      <c r="R349" t="s">
        <v>66</v>
      </c>
      <c r="U349" t="s">
        <v>90</v>
      </c>
      <c r="V349" t="s">
        <v>66</v>
      </c>
      <c r="W349" t="s">
        <v>66</v>
      </c>
      <c r="X349" t="s">
        <v>66</v>
      </c>
      <c r="Y349" t="s">
        <v>66</v>
      </c>
      <c r="Z349" s="99" t="str">
        <f t="shared" ca="1" si="28"/>
        <v/>
      </c>
      <c r="AA349" s="101" t="str">
        <f t="shared" ca="1" si="29"/>
        <v/>
      </c>
    </row>
    <row r="350" spans="2:27" ht="27.6" customHeight="1">
      <c r="B350">
        <f t="shared" ca="1" si="25"/>
        <v>0</v>
      </c>
      <c r="C350" t="s">
        <v>36</v>
      </c>
      <c r="G350" s="75">
        <v>1</v>
      </c>
      <c r="J350" s="66" t="str">
        <f t="shared" ca="1" si="26"/>
        <v>14%</v>
      </c>
      <c r="K350" t="s">
        <v>59</v>
      </c>
      <c r="L350" s="66" t="str">
        <f t="shared" ca="1" si="27"/>
        <v>Sin costo</v>
      </c>
      <c r="M350" t="s">
        <v>64</v>
      </c>
      <c r="N350" t="s">
        <v>66</v>
      </c>
      <c r="O350" t="s">
        <v>66</v>
      </c>
      <c r="P350" t="s">
        <v>66</v>
      </c>
      <c r="R350" t="s">
        <v>66</v>
      </c>
      <c r="U350" t="s">
        <v>90</v>
      </c>
      <c r="V350" t="s">
        <v>66</v>
      </c>
      <c r="W350" t="s">
        <v>66</v>
      </c>
      <c r="X350" t="s">
        <v>66</v>
      </c>
      <c r="Y350" t="s">
        <v>66</v>
      </c>
      <c r="Z350" s="99" t="str">
        <f t="shared" ca="1" si="28"/>
        <v/>
      </c>
      <c r="AA350" s="101" t="str">
        <f t="shared" ca="1" si="29"/>
        <v/>
      </c>
    </row>
    <row r="351" spans="2:27" ht="27.6" customHeight="1">
      <c r="B351">
        <f t="shared" ca="1" si="25"/>
        <v>0</v>
      </c>
      <c r="C351" t="s">
        <v>36</v>
      </c>
      <c r="G351" s="75">
        <v>1</v>
      </c>
      <c r="J351" s="66" t="str">
        <f t="shared" ca="1" si="26"/>
        <v>14%</v>
      </c>
      <c r="K351" t="s">
        <v>59</v>
      </c>
      <c r="L351" s="66" t="str">
        <f t="shared" ca="1" si="27"/>
        <v>Sin costo</v>
      </c>
      <c r="M351" t="s">
        <v>64</v>
      </c>
      <c r="N351" t="s">
        <v>66</v>
      </c>
      <c r="O351" t="s">
        <v>66</v>
      </c>
      <c r="P351" t="s">
        <v>66</v>
      </c>
      <c r="R351" t="s">
        <v>66</v>
      </c>
      <c r="U351" t="s">
        <v>90</v>
      </c>
      <c r="V351" t="s">
        <v>66</v>
      </c>
      <c r="W351" t="s">
        <v>66</v>
      </c>
      <c r="X351" t="s">
        <v>66</v>
      </c>
      <c r="Y351" t="s">
        <v>66</v>
      </c>
      <c r="Z351" s="99" t="str">
        <f t="shared" ca="1" si="28"/>
        <v/>
      </c>
      <c r="AA351" s="101" t="str">
        <f t="shared" ca="1" si="29"/>
        <v/>
      </c>
    </row>
    <row r="352" spans="2:27" ht="27.6" customHeight="1">
      <c r="B352">
        <f t="shared" ca="1" si="25"/>
        <v>0</v>
      </c>
      <c r="C352" t="s">
        <v>36</v>
      </c>
      <c r="G352" s="75">
        <v>1</v>
      </c>
      <c r="J352" s="66" t="str">
        <f t="shared" ca="1" si="26"/>
        <v>14%</v>
      </c>
      <c r="K352" t="s">
        <v>59</v>
      </c>
      <c r="L352" s="66" t="str">
        <f t="shared" ca="1" si="27"/>
        <v>Sin costo</v>
      </c>
      <c r="M352" t="s">
        <v>64</v>
      </c>
      <c r="N352" t="s">
        <v>66</v>
      </c>
      <c r="O352" t="s">
        <v>66</v>
      </c>
      <c r="P352" t="s">
        <v>66</v>
      </c>
      <c r="R352" t="s">
        <v>66</v>
      </c>
      <c r="U352" t="s">
        <v>90</v>
      </c>
      <c r="V352" t="s">
        <v>66</v>
      </c>
      <c r="W352" t="s">
        <v>66</v>
      </c>
      <c r="X352" t="s">
        <v>66</v>
      </c>
      <c r="Y352" t="s">
        <v>66</v>
      </c>
      <c r="Z352" s="99" t="str">
        <f t="shared" ca="1" si="28"/>
        <v/>
      </c>
      <c r="AA352" s="101" t="str">
        <f t="shared" ca="1" si="29"/>
        <v/>
      </c>
    </row>
    <row r="353" spans="2:27" ht="27.6" customHeight="1">
      <c r="B353">
        <f t="shared" ca="1" si="25"/>
        <v>0</v>
      </c>
      <c r="C353" t="s">
        <v>36</v>
      </c>
      <c r="G353" s="75">
        <v>1</v>
      </c>
      <c r="J353" s="66" t="str">
        <f t="shared" ca="1" si="26"/>
        <v>14%</v>
      </c>
      <c r="K353" t="s">
        <v>59</v>
      </c>
      <c r="L353" s="66" t="str">
        <f t="shared" ca="1" si="27"/>
        <v>Sin costo</v>
      </c>
      <c r="M353" t="s">
        <v>64</v>
      </c>
      <c r="N353" t="s">
        <v>66</v>
      </c>
      <c r="O353" t="s">
        <v>66</v>
      </c>
      <c r="P353" t="s">
        <v>66</v>
      </c>
      <c r="R353" t="s">
        <v>66</v>
      </c>
      <c r="U353" t="s">
        <v>90</v>
      </c>
      <c r="V353" t="s">
        <v>66</v>
      </c>
      <c r="W353" t="s">
        <v>66</v>
      </c>
      <c r="X353" t="s">
        <v>66</v>
      </c>
      <c r="Y353" t="s">
        <v>66</v>
      </c>
      <c r="Z353" s="99" t="str">
        <f t="shared" ca="1" si="28"/>
        <v/>
      </c>
      <c r="AA353" s="101" t="str">
        <f t="shared" ca="1" si="29"/>
        <v/>
      </c>
    </row>
    <row r="354" spans="2:27" ht="27.6" customHeight="1">
      <c r="B354">
        <f t="shared" ca="1" si="25"/>
        <v>0</v>
      </c>
      <c r="C354" t="s">
        <v>36</v>
      </c>
      <c r="G354" s="75">
        <v>1</v>
      </c>
      <c r="J354" s="66" t="str">
        <f t="shared" ca="1" si="26"/>
        <v>14%</v>
      </c>
      <c r="K354" t="s">
        <v>59</v>
      </c>
      <c r="L354" s="66" t="str">
        <f t="shared" ca="1" si="27"/>
        <v>Sin costo</v>
      </c>
      <c r="M354" t="s">
        <v>64</v>
      </c>
      <c r="N354" t="s">
        <v>66</v>
      </c>
      <c r="O354" t="s">
        <v>66</v>
      </c>
      <c r="P354" t="s">
        <v>66</v>
      </c>
      <c r="R354" t="s">
        <v>66</v>
      </c>
      <c r="U354" t="s">
        <v>90</v>
      </c>
      <c r="V354" t="s">
        <v>66</v>
      </c>
      <c r="W354" t="s">
        <v>66</v>
      </c>
      <c r="X354" t="s">
        <v>66</v>
      </c>
      <c r="Y354" t="s">
        <v>66</v>
      </c>
      <c r="Z354" s="99" t="str">
        <f t="shared" ca="1" si="28"/>
        <v/>
      </c>
      <c r="AA354" s="101" t="str">
        <f t="shared" ca="1" si="29"/>
        <v/>
      </c>
    </row>
    <row r="355" spans="2:27" ht="27.6" customHeight="1">
      <c r="B355">
        <f t="shared" ca="1" si="25"/>
        <v>0</v>
      </c>
      <c r="C355" t="s">
        <v>36</v>
      </c>
      <c r="G355" s="75">
        <v>1</v>
      </c>
      <c r="J355" s="66" t="str">
        <f t="shared" ca="1" si="26"/>
        <v>14%</v>
      </c>
      <c r="K355" t="s">
        <v>59</v>
      </c>
      <c r="L355" s="66" t="str">
        <f t="shared" ca="1" si="27"/>
        <v>Sin costo</v>
      </c>
      <c r="M355" t="s">
        <v>64</v>
      </c>
      <c r="N355" t="s">
        <v>66</v>
      </c>
      <c r="O355" t="s">
        <v>66</v>
      </c>
      <c r="P355" t="s">
        <v>66</v>
      </c>
      <c r="R355" t="s">
        <v>66</v>
      </c>
      <c r="U355" t="s">
        <v>90</v>
      </c>
      <c r="V355" t="s">
        <v>66</v>
      </c>
      <c r="W355" t="s">
        <v>66</v>
      </c>
      <c r="X355" t="s">
        <v>66</v>
      </c>
      <c r="Y355" t="s">
        <v>66</v>
      </c>
      <c r="Z355" s="99" t="str">
        <f t="shared" ca="1" si="28"/>
        <v/>
      </c>
      <c r="AA355" s="101" t="str">
        <f t="shared" ca="1" si="29"/>
        <v/>
      </c>
    </row>
    <row r="356" spans="2:27" ht="27.6" customHeight="1">
      <c r="B356">
        <f t="shared" ca="1" si="25"/>
        <v>0</v>
      </c>
      <c r="C356" t="s">
        <v>36</v>
      </c>
      <c r="G356" s="75">
        <v>1</v>
      </c>
      <c r="J356" s="66" t="str">
        <f t="shared" ca="1" si="26"/>
        <v>14%</v>
      </c>
      <c r="K356" t="s">
        <v>59</v>
      </c>
      <c r="L356" s="66" t="str">
        <f t="shared" ca="1" si="27"/>
        <v>Sin costo</v>
      </c>
      <c r="M356" t="s">
        <v>64</v>
      </c>
      <c r="N356" t="s">
        <v>66</v>
      </c>
      <c r="O356" t="s">
        <v>66</v>
      </c>
      <c r="P356" t="s">
        <v>66</v>
      </c>
      <c r="R356" t="s">
        <v>66</v>
      </c>
      <c r="U356" t="s">
        <v>90</v>
      </c>
      <c r="V356" t="s">
        <v>66</v>
      </c>
      <c r="W356" t="s">
        <v>66</v>
      </c>
      <c r="X356" t="s">
        <v>66</v>
      </c>
      <c r="Y356" t="s">
        <v>66</v>
      </c>
      <c r="Z356" s="99" t="str">
        <f t="shared" ca="1" si="28"/>
        <v/>
      </c>
      <c r="AA356" s="101" t="str">
        <f t="shared" ca="1" si="29"/>
        <v/>
      </c>
    </row>
    <row r="357" spans="2:27" ht="27.6" customHeight="1">
      <c r="B357">
        <f t="shared" ca="1" si="25"/>
        <v>0</v>
      </c>
      <c r="C357" t="s">
        <v>36</v>
      </c>
      <c r="G357" s="75">
        <v>1</v>
      </c>
      <c r="J357" s="66" t="str">
        <f t="shared" ca="1" si="26"/>
        <v>14%</v>
      </c>
      <c r="K357" t="s">
        <v>59</v>
      </c>
      <c r="L357" s="66" t="str">
        <f t="shared" ca="1" si="27"/>
        <v>Sin costo</v>
      </c>
      <c r="M357" t="s">
        <v>64</v>
      </c>
      <c r="N357" t="s">
        <v>66</v>
      </c>
      <c r="O357" t="s">
        <v>66</v>
      </c>
      <c r="P357" t="s">
        <v>66</v>
      </c>
      <c r="R357" t="s">
        <v>66</v>
      </c>
      <c r="U357" t="s">
        <v>90</v>
      </c>
      <c r="V357" t="s">
        <v>66</v>
      </c>
      <c r="W357" t="s">
        <v>66</v>
      </c>
      <c r="X357" t="s">
        <v>66</v>
      </c>
      <c r="Y357" t="s">
        <v>66</v>
      </c>
      <c r="Z357" s="99" t="str">
        <f t="shared" ca="1" si="28"/>
        <v/>
      </c>
      <c r="AA357" s="101" t="str">
        <f t="shared" ca="1" si="29"/>
        <v/>
      </c>
    </row>
    <row r="358" spans="2:27" ht="27.6" customHeight="1">
      <c r="B358">
        <f t="shared" ca="1" si="25"/>
        <v>0</v>
      </c>
      <c r="C358" t="s">
        <v>36</v>
      </c>
      <c r="G358" s="75">
        <v>1</v>
      </c>
      <c r="J358" s="66" t="str">
        <f t="shared" ca="1" si="26"/>
        <v>14%</v>
      </c>
      <c r="K358" t="s">
        <v>59</v>
      </c>
      <c r="L358" s="66" t="str">
        <f t="shared" ca="1" si="27"/>
        <v>Sin costo</v>
      </c>
      <c r="M358" t="s">
        <v>64</v>
      </c>
      <c r="N358" t="s">
        <v>66</v>
      </c>
      <c r="O358" t="s">
        <v>66</v>
      </c>
      <c r="P358" t="s">
        <v>66</v>
      </c>
      <c r="R358" t="s">
        <v>66</v>
      </c>
      <c r="U358" t="s">
        <v>90</v>
      </c>
      <c r="V358" t="s">
        <v>66</v>
      </c>
      <c r="W358" t="s">
        <v>66</v>
      </c>
      <c r="X358" t="s">
        <v>66</v>
      </c>
      <c r="Y358" t="s">
        <v>66</v>
      </c>
      <c r="Z358" s="99" t="str">
        <f t="shared" ca="1" si="28"/>
        <v/>
      </c>
      <c r="AA358" s="101" t="str">
        <f t="shared" ca="1" si="29"/>
        <v/>
      </c>
    </row>
    <row r="359" spans="2:27" ht="27.6" customHeight="1">
      <c r="B359">
        <f t="shared" ca="1" si="25"/>
        <v>0</v>
      </c>
      <c r="C359" t="s">
        <v>36</v>
      </c>
      <c r="G359" s="75">
        <v>1</v>
      </c>
      <c r="J359" s="66" t="str">
        <f t="shared" ca="1" si="26"/>
        <v>14%</v>
      </c>
      <c r="K359" t="s">
        <v>59</v>
      </c>
      <c r="L359" s="66" t="str">
        <f t="shared" ca="1" si="27"/>
        <v>Sin costo</v>
      </c>
      <c r="M359" t="s">
        <v>64</v>
      </c>
      <c r="N359" t="s">
        <v>66</v>
      </c>
      <c r="O359" t="s">
        <v>66</v>
      </c>
      <c r="P359" t="s">
        <v>66</v>
      </c>
      <c r="R359" t="s">
        <v>66</v>
      </c>
      <c r="U359" t="s">
        <v>90</v>
      </c>
      <c r="V359" t="s">
        <v>66</v>
      </c>
      <c r="W359" t="s">
        <v>66</v>
      </c>
      <c r="X359" t="s">
        <v>66</v>
      </c>
      <c r="Y359" t="s">
        <v>66</v>
      </c>
      <c r="Z359" s="99" t="str">
        <f t="shared" ca="1" si="28"/>
        <v/>
      </c>
      <c r="AA359" s="101" t="str">
        <f t="shared" ca="1" si="29"/>
        <v/>
      </c>
    </row>
    <row r="360" spans="2:27" ht="27.6" customHeight="1">
      <c r="B360">
        <f t="shared" ca="1" si="25"/>
        <v>0</v>
      </c>
      <c r="C360" t="s">
        <v>36</v>
      </c>
      <c r="G360" s="75">
        <v>1</v>
      </c>
      <c r="J360" s="66" t="str">
        <f t="shared" ca="1" si="26"/>
        <v>14%</v>
      </c>
      <c r="K360" t="s">
        <v>59</v>
      </c>
      <c r="L360" s="66" t="str">
        <f t="shared" ca="1" si="27"/>
        <v>Sin costo</v>
      </c>
      <c r="M360" t="s">
        <v>64</v>
      </c>
      <c r="N360" t="s">
        <v>66</v>
      </c>
      <c r="O360" t="s">
        <v>66</v>
      </c>
      <c r="P360" t="s">
        <v>66</v>
      </c>
      <c r="R360" t="s">
        <v>66</v>
      </c>
      <c r="U360" t="s">
        <v>90</v>
      </c>
      <c r="V360" t="s">
        <v>66</v>
      </c>
      <c r="W360" t="s">
        <v>66</v>
      </c>
      <c r="X360" t="s">
        <v>66</v>
      </c>
      <c r="Y360" t="s">
        <v>66</v>
      </c>
      <c r="Z360" s="99" t="str">
        <f t="shared" ca="1" si="28"/>
        <v/>
      </c>
      <c r="AA360" s="101" t="str">
        <f t="shared" ca="1" si="29"/>
        <v/>
      </c>
    </row>
    <row r="361" spans="2:27" ht="27.6" customHeight="1">
      <c r="B361">
        <f t="shared" ca="1" si="25"/>
        <v>0</v>
      </c>
      <c r="C361" t="s">
        <v>36</v>
      </c>
      <c r="G361" s="75">
        <v>1</v>
      </c>
      <c r="J361" s="66" t="str">
        <f t="shared" ca="1" si="26"/>
        <v>14%</v>
      </c>
      <c r="K361" t="s">
        <v>59</v>
      </c>
      <c r="L361" s="66" t="str">
        <f t="shared" ca="1" si="27"/>
        <v>Sin costo</v>
      </c>
      <c r="M361" t="s">
        <v>64</v>
      </c>
      <c r="N361" t="s">
        <v>66</v>
      </c>
      <c r="O361" t="s">
        <v>66</v>
      </c>
      <c r="P361" t="s">
        <v>66</v>
      </c>
      <c r="R361" t="s">
        <v>66</v>
      </c>
      <c r="U361" t="s">
        <v>90</v>
      </c>
      <c r="V361" t="s">
        <v>66</v>
      </c>
      <c r="W361" t="s">
        <v>66</v>
      </c>
      <c r="X361" t="s">
        <v>66</v>
      </c>
      <c r="Y361" t="s">
        <v>66</v>
      </c>
      <c r="Z361" s="99" t="str">
        <f t="shared" ca="1" si="28"/>
        <v/>
      </c>
      <c r="AA361" s="101" t="str">
        <f t="shared" ca="1" si="29"/>
        <v/>
      </c>
    </row>
    <row r="362" spans="2:27" ht="27.6" customHeight="1">
      <c r="B362">
        <f t="shared" ca="1" si="25"/>
        <v>0</v>
      </c>
      <c r="C362" t="s">
        <v>36</v>
      </c>
      <c r="G362" s="75">
        <v>1</v>
      </c>
      <c r="J362" s="66" t="str">
        <f t="shared" ca="1" si="26"/>
        <v>14%</v>
      </c>
      <c r="K362" t="s">
        <v>59</v>
      </c>
      <c r="L362" s="66" t="str">
        <f t="shared" ca="1" si="27"/>
        <v>Sin costo</v>
      </c>
      <c r="M362" t="s">
        <v>64</v>
      </c>
      <c r="N362" t="s">
        <v>66</v>
      </c>
      <c r="O362" t="s">
        <v>66</v>
      </c>
      <c r="P362" t="s">
        <v>66</v>
      </c>
      <c r="R362" t="s">
        <v>66</v>
      </c>
      <c r="U362" t="s">
        <v>90</v>
      </c>
      <c r="V362" t="s">
        <v>66</v>
      </c>
      <c r="W362" t="s">
        <v>66</v>
      </c>
      <c r="X362" t="s">
        <v>66</v>
      </c>
      <c r="Y362" t="s">
        <v>66</v>
      </c>
      <c r="Z362" s="99" t="str">
        <f t="shared" ca="1" si="28"/>
        <v/>
      </c>
      <c r="AA362" s="101" t="str">
        <f t="shared" ca="1" si="29"/>
        <v/>
      </c>
    </row>
    <row r="363" spans="2:27" ht="27.6" customHeight="1">
      <c r="B363">
        <f t="shared" ca="1" si="25"/>
        <v>0</v>
      </c>
      <c r="C363" t="s">
        <v>36</v>
      </c>
      <c r="G363" s="75">
        <v>1</v>
      </c>
      <c r="J363" s="66" t="str">
        <f t="shared" ca="1" si="26"/>
        <v>14%</v>
      </c>
      <c r="K363" t="s">
        <v>59</v>
      </c>
      <c r="L363" s="66" t="str">
        <f t="shared" ca="1" si="27"/>
        <v>Sin costo</v>
      </c>
      <c r="M363" t="s">
        <v>64</v>
      </c>
      <c r="N363" t="s">
        <v>66</v>
      </c>
      <c r="O363" t="s">
        <v>66</v>
      </c>
      <c r="P363" t="s">
        <v>66</v>
      </c>
      <c r="R363" t="s">
        <v>66</v>
      </c>
      <c r="U363" t="s">
        <v>90</v>
      </c>
      <c r="V363" t="s">
        <v>66</v>
      </c>
      <c r="W363" t="s">
        <v>66</v>
      </c>
      <c r="X363" t="s">
        <v>66</v>
      </c>
      <c r="Y363" t="s">
        <v>66</v>
      </c>
      <c r="Z363" s="99" t="str">
        <f t="shared" ca="1" si="28"/>
        <v/>
      </c>
      <c r="AA363" s="101" t="str">
        <f t="shared" ca="1" si="29"/>
        <v/>
      </c>
    </row>
    <row r="364" spans="2:27" ht="27.6" customHeight="1">
      <c r="B364">
        <f t="shared" ca="1" si="25"/>
        <v>0</v>
      </c>
      <c r="C364" t="s">
        <v>36</v>
      </c>
      <c r="G364" s="75">
        <v>1</v>
      </c>
      <c r="J364" s="66" t="str">
        <f t="shared" ca="1" si="26"/>
        <v>14%</v>
      </c>
      <c r="K364" t="s">
        <v>59</v>
      </c>
      <c r="L364" s="66" t="str">
        <f t="shared" ca="1" si="27"/>
        <v>Sin costo</v>
      </c>
      <c r="M364" t="s">
        <v>64</v>
      </c>
      <c r="N364" t="s">
        <v>66</v>
      </c>
      <c r="O364" t="s">
        <v>66</v>
      </c>
      <c r="P364" t="s">
        <v>66</v>
      </c>
      <c r="R364" t="s">
        <v>66</v>
      </c>
      <c r="U364" t="s">
        <v>90</v>
      </c>
      <c r="V364" t="s">
        <v>66</v>
      </c>
      <c r="W364" t="s">
        <v>66</v>
      </c>
      <c r="X364" t="s">
        <v>66</v>
      </c>
      <c r="Y364" t="s">
        <v>66</v>
      </c>
      <c r="Z364" s="99" t="str">
        <f t="shared" ca="1" si="28"/>
        <v/>
      </c>
      <c r="AA364" s="101" t="str">
        <f t="shared" ca="1" si="29"/>
        <v/>
      </c>
    </row>
    <row r="365" spans="2:27" ht="27.6" customHeight="1">
      <c r="B365">
        <f t="shared" ca="1" si="25"/>
        <v>0</v>
      </c>
      <c r="C365" t="s">
        <v>36</v>
      </c>
      <c r="G365" s="75">
        <v>1</v>
      </c>
      <c r="J365" s="66" t="str">
        <f t="shared" ca="1" si="26"/>
        <v>14%</v>
      </c>
      <c r="K365" t="s">
        <v>59</v>
      </c>
      <c r="L365" s="66" t="str">
        <f t="shared" ca="1" si="27"/>
        <v>Sin costo</v>
      </c>
      <c r="M365" t="s">
        <v>64</v>
      </c>
      <c r="N365" t="s">
        <v>66</v>
      </c>
      <c r="O365" t="s">
        <v>66</v>
      </c>
      <c r="P365" t="s">
        <v>66</v>
      </c>
      <c r="R365" t="s">
        <v>66</v>
      </c>
      <c r="U365" t="s">
        <v>90</v>
      </c>
      <c r="V365" t="s">
        <v>66</v>
      </c>
      <c r="W365" t="s">
        <v>66</v>
      </c>
      <c r="X365" t="s">
        <v>66</v>
      </c>
      <c r="Y365" t="s">
        <v>66</v>
      </c>
      <c r="Z365" s="99" t="str">
        <f t="shared" ca="1" si="28"/>
        <v/>
      </c>
      <c r="AA365" s="101" t="str">
        <f t="shared" ca="1" si="29"/>
        <v/>
      </c>
    </row>
    <row r="366" spans="2:27" ht="27.6" customHeight="1">
      <c r="B366">
        <f t="shared" ca="1" si="25"/>
        <v>0</v>
      </c>
      <c r="C366" t="s">
        <v>36</v>
      </c>
      <c r="G366" s="75">
        <v>1</v>
      </c>
      <c r="J366" s="66" t="str">
        <f t="shared" ca="1" si="26"/>
        <v>14%</v>
      </c>
      <c r="K366" t="s">
        <v>59</v>
      </c>
      <c r="L366" s="66" t="str">
        <f t="shared" ca="1" si="27"/>
        <v>Sin costo</v>
      </c>
      <c r="M366" t="s">
        <v>64</v>
      </c>
      <c r="N366" t="s">
        <v>66</v>
      </c>
      <c r="O366" t="s">
        <v>66</v>
      </c>
      <c r="P366" t="s">
        <v>66</v>
      </c>
      <c r="R366" t="s">
        <v>66</v>
      </c>
      <c r="U366" t="s">
        <v>90</v>
      </c>
      <c r="V366" t="s">
        <v>66</v>
      </c>
      <c r="W366" t="s">
        <v>66</v>
      </c>
      <c r="X366" t="s">
        <v>66</v>
      </c>
      <c r="Y366" t="s">
        <v>66</v>
      </c>
      <c r="Z366" s="99" t="str">
        <f t="shared" ca="1" si="28"/>
        <v/>
      </c>
      <c r="AA366" s="101" t="str">
        <f t="shared" ca="1" si="29"/>
        <v/>
      </c>
    </row>
    <row r="367" spans="2:27" ht="27.6" customHeight="1">
      <c r="B367">
        <f t="shared" ca="1" si="25"/>
        <v>0</v>
      </c>
      <c r="C367" t="s">
        <v>36</v>
      </c>
      <c r="G367" s="75">
        <v>1</v>
      </c>
      <c r="J367" s="66" t="str">
        <f t="shared" ca="1" si="26"/>
        <v>14%</v>
      </c>
      <c r="K367" t="s">
        <v>59</v>
      </c>
      <c r="L367" s="66" t="str">
        <f t="shared" ca="1" si="27"/>
        <v>Sin costo</v>
      </c>
      <c r="M367" t="s">
        <v>64</v>
      </c>
      <c r="N367" t="s">
        <v>66</v>
      </c>
      <c r="O367" t="s">
        <v>66</v>
      </c>
      <c r="P367" t="s">
        <v>66</v>
      </c>
      <c r="R367" t="s">
        <v>66</v>
      </c>
      <c r="U367" t="s">
        <v>90</v>
      </c>
      <c r="V367" t="s">
        <v>66</v>
      </c>
      <c r="W367" t="s">
        <v>66</v>
      </c>
      <c r="X367" t="s">
        <v>66</v>
      </c>
      <c r="Y367" t="s">
        <v>66</v>
      </c>
      <c r="Z367" s="99" t="str">
        <f t="shared" ca="1" si="28"/>
        <v/>
      </c>
      <c r="AA367" s="101" t="str">
        <f t="shared" ca="1" si="29"/>
        <v/>
      </c>
    </row>
    <row r="368" spans="2:27" ht="27.6" customHeight="1">
      <c r="B368">
        <f t="shared" ca="1" si="25"/>
        <v>0</v>
      </c>
      <c r="C368" t="s">
        <v>36</v>
      </c>
      <c r="G368" s="75">
        <v>1</v>
      </c>
      <c r="J368" s="66" t="str">
        <f t="shared" ca="1" si="26"/>
        <v>14%</v>
      </c>
      <c r="K368" t="s">
        <v>59</v>
      </c>
      <c r="L368" s="66" t="str">
        <f t="shared" ca="1" si="27"/>
        <v>Sin costo</v>
      </c>
      <c r="M368" t="s">
        <v>64</v>
      </c>
      <c r="N368" t="s">
        <v>66</v>
      </c>
      <c r="O368" t="s">
        <v>66</v>
      </c>
      <c r="P368" t="s">
        <v>66</v>
      </c>
      <c r="R368" t="s">
        <v>66</v>
      </c>
      <c r="U368" t="s">
        <v>90</v>
      </c>
      <c r="V368" t="s">
        <v>66</v>
      </c>
      <c r="W368" t="s">
        <v>66</v>
      </c>
      <c r="X368" t="s">
        <v>66</v>
      </c>
      <c r="Y368" t="s">
        <v>66</v>
      </c>
      <c r="Z368" s="99" t="str">
        <f t="shared" ca="1" si="28"/>
        <v/>
      </c>
      <c r="AA368" s="101" t="str">
        <f t="shared" ca="1" si="29"/>
        <v/>
      </c>
    </row>
    <row r="369" spans="2:27" ht="27.6" customHeight="1">
      <c r="B369">
        <f t="shared" ca="1" si="25"/>
        <v>0</v>
      </c>
      <c r="C369" t="s">
        <v>36</v>
      </c>
      <c r="G369" s="75">
        <v>1</v>
      </c>
      <c r="J369" s="66" t="str">
        <f t="shared" ca="1" si="26"/>
        <v>14%</v>
      </c>
      <c r="K369" t="s">
        <v>59</v>
      </c>
      <c r="L369" s="66" t="str">
        <f t="shared" ca="1" si="27"/>
        <v>Sin costo</v>
      </c>
      <c r="M369" t="s">
        <v>64</v>
      </c>
      <c r="N369" t="s">
        <v>66</v>
      </c>
      <c r="O369" t="s">
        <v>66</v>
      </c>
      <c r="P369" t="s">
        <v>66</v>
      </c>
      <c r="R369" t="s">
        <v>66</v>
      </c>
      <c r="U369" t="s">
        <v>90</v>
      </c>
      <c r="V369" t="s">
        <v>66</v>
      </c>
      <c r="W369" t="s">
        <v>66</v>
      </c>
      <c r="X369" t="s">
        <v>66</v>
      </c>
      <c r="Y369" t="s">
        <v>66</v>
      </c>
      <c r="Z369" s="99" t="str">
        <f t="shared" ca="1" si="28"/>
        <v/>
      </c>
      <c r="AA369" s="101" t="str">
        <f t="shared" ca="1" si="29"/>
        <v/>
      </c>
    </row>
    <row r="370" spans="2:27" ht="27.6" customHeight="1">
      <c r="B370">
        <f t="shared" ca="1" si="25"/>
        <v>0</v>
      </c>
      <c r="C370" t="s">
        <v>36</v>
      </c>
      <c r="G370" s="75">
        <v>1</v>
      </c>
      <c r="J370" s="66" t="str">
        <f t="shared" ca="1" si="26"/>
        <v>14%</v>
      </c>
      <c r="K370" t="s">
        <v>59</v>
      </c>
      <c r="L370" s="66" t="str">
        <f t="shared" ca="1" si="27"/>
        <v>Sin costo</v>
      </c>
      <c r="M370" t="s">
        <v>64</v>
      </c>
      <c r="N370" t="s">
        <v>66</v>
      </c>
      <c r="O370" t="s">
        <v>66</v>
      </c>
      <c r="P370" t="s">
        <v>66</v>
      </c>
      <c r="R370" t="s">
        <v>66</v>
      </c>
      <c r="U370" t="s">
        <v>90</v>
      </c>
      <c r="V370" t="s">
        <v>66</v>
      </c>
      <c r="W370" t="s">
        <v>66</v>
      </c>
      <c r="X370" t="s">
        <v>66</v>
      </c>
      <c r="Y370" t="s">
        <v>66</v>
      </c>
      <c r="Z370" s="99" t="str">
        <f t="shared" ca="1" si="28"/>
        <v/>
      </c>
      <c r="AA370" s="101" t="str">
        <f t="shared" ca="1" si="29"/>
        <v/>
      </c>
    </row>
    <row r="371" spans="2:27" ht="27.6" customHeight="1">
      <c r="B371">
        <f t="shared" ca="1" si="25"/>
        <v>0</v>
      </c>
      <c r="C371" t="s">
        <v>36</v>
      </c>
      <c r="G371" s="75">
        <v>1</v>
      </c>
      <c r="J371" s="66" t="str">
        <f t="shared" ca="1" si="26"/>
        <v>14%</v>
      </c>
      <c r="K371" t="s">
        <v>59</v>
      </c>
      <c r="L371" s="66" t="str">
        <f t="shared" ca="1" si="27"/>
        <v>Sin costo</v>
      </c>
      <c r="M371" t="s">
        <v>64</v>
      </c>
      <c r="N371" t="s">
        <v>66</v>
      </c>
      <c r="O371" t="s">
        <v>66</v>
      </c>
      <c r="P371" t="s">
        <v>66</v>
      </c>
      <c r="R371" t="s">
        <v>66</v>
      </c>
      <c r="U371" t="s">
        <v>90</v>
      </c>
      <c r="V371" t="s">
        <v>66</v>
      </c>
      <c r="W371" t="s">
        <v>66</v>
      </c>
      <c r="X371" t="s">
        <v>66</v>
      </c>
      <c r="Y371" t="s">
        <v>66</v>
      </c>
      <c r="Z371" s="99" t="str">
        <f t="shared" ca="1" si="28"/>
        <v/>
      </c>
      <c r="AA371" s="101" t="str">
        <f t="shared" ca="1" si="29"/>
        <v/>
      </c>
    </row>
    <row r="372" spans="2:27" ht="27.6" customHeight="1">
      <c r="B372">
        <f t="shared" ca="1" si="25"/>
        <v>0</v>
      </c>
      <c r="C372" t="s">
        <v>36</v>
      </c>
      <c r="G372" s="75">
        <v>1</v>
      </c>
      <c r="J372" s="66" t="str">
        <f t="shared" ca="1" si="26"/>
        <v>14%</v>
      </c>
      <c r="K372" t="s">
        <v>59</v>
      </c>
      <c r="L372" s="66" t="str">
        <f t="shared" ca="1" si="27"/>
        <v>Sin costo</v>
      </c>
      <c r="M372" t="s">
        <v>64</v>
      </c>
      <c r="N372" t="s">
        <v>66</v>
      </c>
      <c r="O372" t="s">
        <v>66</v>
      </c>
      <c r="P372" t="s">
        <v>66</v>
      </c>
      <c r="R372" t="s">
        <v>66</v>
      </c>
      <c r="U372" t="s">
        <v>90</v>
      </c>
      <c r="V372" t="s">
        <v>66</v>
      </c>
      <c r="W372" t="s">
        <v>66</v>
      </c>
      <c r="X372" t="s">
        <v>66</v>
      </c>
      <c r="Y372" t="s">
        <v>66</v>
      </c>
      <c r="Z372" s="99" t="str">
        <f t="shared" ca="1" si="28"/>
        <v/>
      </c>
      <c r="AA372" s="101" t="str">
        <f t="shared" ca="1" si="29"/>
        <v/>
      </c>
    </row>
    <row r="373" spans="2:27" ht="27.6" customHeight="1">
      <c r="B373">
        <f t="shared" ca="1" si="25"/>
        <v>0</v>
      </c>
      <c r="C373" t="s">
        <v>36</v>
      </c>
      <c r="G373" s="75">
        <v>1</v>
      </c>
      <c r="J373" s="66" t="str">
        <f t="shared" ca="1" si="26"/>
        <v>14%</v>
      </c>
      <c r="K373" t="s">
        <v>59</v>
      </c>
      <c r="L373" s="66" t="str">
        <f t="shared" ca="1" si="27"/>
        <v>Sin costo</v>
      </c>
      <c r="M373" t="s">
        <v>64</v>
      </c>
      <c r="N373" t="s">
        <v>66</v>
      </c>
      <c r="O373" t="s">
        <v>66</v>
      </c>
      <c r="P373" t="s">
        <v>66</v>
      </c>
      <c r="R373" t="s">
        <v>66</v>
      </c>
      <c r="U373" t="s">
        <v>90</v>
      </c>
      <c r="V373" t="s">
        <v>66</v>
      </c>
      <c r="W373" t="s">
        <v>66</v>
      </c>
      <c r="X373" t="s">
        <v>66</v>
      </c>
      <c r="Y373" t="s">
        <v>66</v>
      </c>
      <c r="Z373" s="99" t="str">
        <f t="shared" ca="1" si="28"/>
        <v/>
      </c>
      <c r="AA373" s="101" t="str">
        <f t="shared" ca="1" si="29"/>
        <v/>
      </c>
    </row>
    <row r="374" spans="2:27" ht="27.6" customHeight="1">
      <c r="B374">
        <f t="shared" ca="1" si="25"/>
        <v>0</v>
      </c>
      <c r="C374" t="s">
        <v>36</v>
      </c>
      <c r="G374" s="75">
        <v>1</v>
      </c>
      <c r="J374" s="66" t="str">
        <f t="shared" ca="1" si="26"/>
        <v>14%</v>
      </c>
      <c r="K374" t="s">
        <v>59</v>
      </c>
      <c r="L374" s="66" t="str">
        <f t="shared" ca="1" si="27"/>
        <v>Sin costo</v>
      </c>
      <c r="M374" t="s">
        <v>64</v>
      </c>
      <c r="N374" t="s">
        <v>66</v>
      </c>
      <c r="O374" t="s">
        <v>66</v>
      </c>
      <c r="P374" t="s">
        <v>66</v>
      </c>
      <c r="R374" t="s">
        <v>66</v>
      </c>
      <c r="U374" t="s">
        <v>90</v>
      </c>
      <c r="V374" t="s">
        <v>66</v>
      </c>
      <c r="W374" t="s">
        <v>66</v>
      </c>
      <c r="X374" t="s">
        <v>66</v>
      </c>
      <c r="Y374" t="s">
        <v>66</v>
      </c>
      <c r="Z374" s="99" t="str">
        <f t="shared" ca="1" si="28"/>
        <v/>
      </c>
      <c r="AA374" s="101" t="str">
        <f t="shared" ca="1" si="29"/>
        <v/>
      </c>
    </row>
    <row r="375" spans="2:27" ht="27.6" customHeight="1">
      <c r="B375">
        <f t="shared" ca="1" si="25"/>
        <v>0</v>
      </c>
      <c r="C375" t="s">
        <v>36</v>
      </c>
      <c r="G375" s="75">
        <v>1</v>
      </c>
      <c r="J375" s="66" t="str">
        <f t="shared" ca="1" si="26"/>
        <v>14%</v>
      </c>
      <c r="K375" t="s">
        <v>59</v>
      </c>
      <c r="L375" s="66" t="str">
        <f t="shared" ca="1" si="27"/>
        <v>Sin costo</v>
      </c>
      <c r="M375" t="s">
        <v>64</v>
      </c>
      <c r="N375" t="s">
        <v>66</v>
      </c>
      <c r="O375" t="s">
        <v>66</v>
      </c>
      <c r="P375" t="s">
        <v>66</v>
      </c>
      <c r="R375" t="s">
        <v>66</v>
      </c>
      <c r="U375" t="s">
        <v>90</v>
      </c>
      <c r="V375" t="s">
        <v>66</v>
      </c>
      <c r="W375" t="s">
        <v>66</v>
      </c>
      <c r="X375" t="s">
        <v>66</v>
      </c>
      <c r="Y375" t="s">
        <v>66</v>
      </c>
      <c r="Z375" s="99" t="str">
        <f t="shared" ca="1" si="28"/>
        <v/>
      </c>
      <c r="AA375" s="101" t="str">
        <f t="shared" ca="1" si="29"/>
        <v/>
      </c>
    </row>
    <row r="376" spans="2:27" ht="27.6" customHeight="1">
      <c r="B376">
        <f t="shared" ca="1" si="25"/>
        <v>0</v>
      </c>
      <c r="C376" t="s">
        <v>36</v>
      </c>
      <c r="G376" s="75">
        <v>1</v>
      </c>
      <c r="J376" s="66" t="str">
        <f t="shared" ca="1" si="26"/>
        <v>14%</v>
      </c>
      <c r="K376" t="s">
        <v>59</v>
      </c>
      <c r="L376" s="66" t="str">
        <f t="shared" ca="1" si="27"/>
        <v>Sin costo</v>
      </c>
      <c r="M376" t="s">
        <v>64</v>
      </c>
      <c r="N376" t="s">
        <v>66</v>
      </c>
      <c r="O376" t="s">
        <v>66</v>
      </c>
      <c r="P376" t="s">
        <v>66</v>
      </c>
      <c r="R376" t="s">
        <v>66</v>
      </c>
      <c r="U376" t="s">
        <v>90</v>
      </c>
      <c r="V376" t="s">
        <v>66</v>
      </c>
      <c r="W376" t="s">
        <v>66</v>
      </c>
      <c r="X376" t="s">
        <v>66</v>
      </c>
      <c r="Y376" t="s">
        <v>66</v>
      </c>
      <c r="Z376" s="99" t="str">
        <f t="shared" ca="1" si="28"/>
        <v/>
      </c>
      <c r="AA376" s="101" t="str">
        <f t="shared" ca="1" si="29"/>
        <v/>
      </c>
    </row>
    <row r="377" spans="2:27" ht="27.6" customHeight="1">
      <c r="B377">
        <f t="shared" ca="1" si="25"/>
        <v>0</v>
      </c>
      <c r="C377" t="s">
        <v>36</v>
      </c>
      <c r="G377" s="75">
        <v>1</v>
      </c>
      <c r="J377" s="66" t="str">
        <f t="shared" ca="1" si="26"/>
        <v>14%</v>
      </c>
      <c r="K377" t="s">
        <v>59</v>
      </c>
      <c r="L377" s="66" t="str">
        <f t="shared" ca="1" si="27"/>
        <v>Sin costo</v>
      </c>
      <c r="M377" t="s">
        <v>64</v>
      </c>
      <c r="N377" t="s">
        <v>66</v>
      </c>
      <c r="O377" t="s">
        <v>66</v>
      </c>
      <c r="P377" t="s">
        <v>66</v>
      </c>
      <c r="R377" t="s">
        <v>66</v>
      </c>
      <c r="U377" t="s">
        <v>90</v>
      </c>
      <c r="V377" t="s">
        <v>66</v>
      </c>
      <c r="W377" t="s">
        <v>66</v>
      </c>
      <c r="X377" t="s">
        <v>66</v>
      </c>
      <c r="Y377" t="s">
        <v>66</v>
      </c>
      <c r="Z377" s="99" t="str">
        <f t="shared" ca="1" si="28"/>
        <v/>
      </c>
      <c r="AA377" s="101" t="str">
        <f t="shared" ca="1" si="29"/>
        <v/>
      </c>
    </row>
    <row r="378" spans="2:27" ht="27.6" customHeight="1">
      <c r="B378">
        <f t="shared" ca="1" si="25"/>
        <v>0</v>
      </c>
      <c r="C378" t="s">
        <v>36</v>
      </c>
      <c r="G378" s="75">
        <v>1</v>
      </c>
      <c r="J378" s="66" t="str">
        <f t="shared" ca="1" si="26"/>
        <v>14%</v>
      </c>
      <c r="K378" t="s">
        <v>59</v>
      </c>
      <c r="L378" s="66" t="str">
        <f t="shared" ca="1" si="27"/>
        <v>Sin costo</v>
      </c>
      <c r="M378" t="s">
        <v>64</v>
      </c>
      <c r="N378" t="s">
        <v>66</v>
      </c>
      <c r="O378" t="s">
        <v>66</v>
      </c>
      <c r="P378" t="s">
        <v>66</v>
      </c>
      <c r="R378" t="s">
        <v>66</v>
      </c>
      <c r="U378" t="s">
        <v>90</v>
      </c>
      <c r="V378" t="s">
        <v>66</v>
      </c>
      <c r="W378" t="s">
        <v>66</v>
      </c>
      <c r="X378" t="s">
        <v>66</v>
      </c>
      <c r="Y378" t="s">
        <v>66</v>
      </c>
      <c r="Z378" s="99" t="str">
        <f t="shared" ca="1" si="28"/>
        <v/>
      </c>
      <c r="AA378" s="101" t="str">
        <f t="shared" ca="1" si="29"/>
        <v/>
      </c>
    </row>
    <row r="379" spans="2:27" ht="27.6" customHeight="1">
      <c r="B379">
        <f t="shared" ca="1" si="25"/>
        <v>0</v>
      </c>
      <c r="C379" t="s">
        <v>36</v>
      </c>
      <c r="G379" s="75">
        <v>1</v>
      </c>
      <c r="J379" s="66" t="str">
        <f t="shared" ca="1" si="26"/>
        <v>14%</v>
      </c>
      <c r="K379" t="s">
        <v>59</v>
      </c>
      <c r="L379" s="66" t="str">
        <f t="shared" ca="1" si="27"/>
        <v>Sin costo</v>
      </c>
      <c r="M379" t="s">
        <v>64</v>
      </c>
      <c r="N379" t="s">
        <v>66</v>
      </c>
      <c r="O379" t="s">
        <v>66</v>
      </c>
      <c r="P379" t="s">
        <v>66</v>
      </c>
      <c r="R379" t="s">
        <v>66</v>
      </c>
      <c r="U379" t="s">
        <v>90</v>
      </c>
      <c r="V379" t="s">
        <v>66</v>
      </c>
      <c r="W379" t="s">
        <v>66</v>
      </c>
      <c r="X379" t="s">
        <v>66</v>
      </c>
      <c r="Y379" t="s">
        <v>66</v>
      </c>
      <c r="Z379" s="99" t="str">
        <f t="shared" ca="1" si="28"/>
        <v/>
      </c>
      <c r="AA379" s="101" t="str">
        <f t="shared" ca="1" si="29"/>
        <v/>
      </c>
    </row>
    <row r="380" spans="2:27" ht="27.6" customHeight="1">
      <c r="B380">
        <f t="shared" ca="1" si="25"/>
        <v>0</v>
      </c>
      <c r="C380" t="s">
        <v>36</v>
      </c>
      <c r="G380" s="75">
        <v>1</v>
      </c>
      <c r="J380" s="66" t="str">
        <f t="shared" ca="1" si="26"/>
        <v>14%</v>
      </c>
      <c r="K380" t="s">
        <v>59</v>
      </c>
      <c r="L380" s="66" t="str">
        <f t="shared" ca="1" si="27"/>
        <v>Sin costo</v>
      </c>
      <c r="M380" t="s">
        <v>64</v>
      </c>
      <c r="N380" t="s">
        <v>66</v>
      </c>
      <c r="O380" t="s">
        <v>66</v>
      </c>
      <c r="P380" t="s">
        <v>66</v>
      </c>
      <c r="R380" t="s">
        <v>66</v>
      </c>
      <c r="U380" t="s">
        <v>90</v>
      </c>
      <c r="V380" t="s">
        <v>66</v>
      </c>
      <c r="W380" t="s">
        <v>66</v>
      </c>
      <c r="X380" t="s">
        <v>66</v>
      </c>
      <c r="Y380" t="s">
        <v>66</v>
      </c>
      <c r="Z380" s="99" t="str">
        <f t="shared" ca="1" si="28"/>
        <v/>
      </c>
      <c r="AA380" s="101" t="str">
        <f t="shared" ca="1" si="29"/>
        <v/>
      </c>
    </row>
    <row r="381" spans="2:27" ht="27.6" customHeight="1">
      <c r="B381">
        <f t="shared" ca="1" si="25"/>
        <v>0</v>
      </c>
      <c r="C381" t="s">
        <v>36</v>
      </c>
      <c r="G381" s="75">
        <v>1</v>
      </c>
      <c r="J381" s="66" t="str">
        <f t="shared" ca="1" si="26"/>
        <v>14%</v>
      </c>
      <c r="K381" t="s">
        <v>59</v>
      </c>
      <c r="L381" s="66" t="str">
        <f t="shared" ca="1" si="27"/>
        <v>Sin costo</v>
      </c>
      <c r="M381" t="s">
        <v>64</v>
      </c>
      <c r="N381" t="s">
        <v>66</v>
      </c>
      <c r="O381" t="s">
        <v>66</v>
      </c>
      <c r="P381" t="s">
        <v>66</v>
      </c>
      <c r="R381" t="s">
        <v>66</v>
      </c>
      <c r="U381" t="s">
        <v>90</v>
      </c>
      <c r="V381" t="s">
        <v>66</v>
      </c>
      <c r="W381" t="s">
        <v>66</v>
      </c>
      <c r="X381" t="s">
        <v>66</v>
      </c>
      <c r="Y381" t="s">
        <v>66</v>
      </c>
      <c r="Z381" s="99" t="str">
        <f t="shared" ca="1" si="28"/>
        <v/>
      </c>
      <c r="AA381" s="101" t="str">
        <f t="shared" ca="1" si="29"/>
        <v/>
      </c>
    </row>
    <row r="382" spans="2:27" ht="27.6" customHeight="1">
      <c r="B382">
        <f t="shared" ca="1" si="25"/>
        <v>0</v>
      </c>
      <c r="C382" t="s">
        <v>36</v>
      </c>
      <c r="G382" s="75">
        <v>1</v>
      </c>
      <c r="J382" s="66" t="str">
        <f t="shared" ca="1" si="26"/>
        <v>14%</v>
      </c>
      <c r="K382" t="s">
        <v>59</v>
      </c>
      <c r="L382" s="66" t="str">
        <f t="shared" ca="1" si="27"/>
        <v>Sin costo</v>
      </c>
      <c r="M382" t="s">
        <v>64</v>
      </c>
      <c r="N382" t="s">
        <v>66</v>
      </c>
      <c r="O382" t="s">
        <v>66</v>
      </c>
      <c r="P382" t="s">
        <v>66</v>
      </c>
      <c r="R382" t="s">
        <v>66</v>
      </c>
      <c r="U382" t="s">
        <v>90</v>
      </c>
      <c r="V382" t="s">
        <v>66</v>
      </c>
      <c r="W382" t="s">
        <v>66</v>
      </c>
      <c r="X382" t="s">
        <v>66</v>
      </c>
      <c r="Y382" t="s">
        <v>66</v>
      </c>
      <c r="Z382" s="99" t="str">
        <f t="shared" ca="1" si="28"/>
        <v/>
      </c>
      <c r="AA382" s="101" t="str">
        <f t="shared" ca="1" si="29"/>
        <v/>
      </c>
    </row>
    <row r="383" spans="2:27" ht="27.6" customHeight="1">
      <c r="B383">
        <f t="shared" ca="1" si="25"/>
        <v>0</v>
      </c>
      <c r="C383" t="s">
        <v>36</v>
      </c>
      <c r="G383" s="75">
        <v>1</v>
      </c>
      <c r="J383" s="66" t="str">
        <f t="shared" ca="1" si="26"/>
        <v>14%</v>
      </c>
      <c r="K383" t="s">
        <v>59</v>
      </c>
      <c r="L383" s="66" t="str">
        <f t="shared" ca="1" si="27"/>
        <v>Sin costo</v>
      </c>
      <c r="M383" t="s">
        <v>64</v>
      </c>
      <c r="N383" t="s">
        <v>66</v>
      </c>
      <c r="O383" t="s">
        <v>66</v>
      </c>
      <c r="P383" t="s">
        <v>66</v>
      </c>
      <c r="R383" t="s">
        <v>66</v>
      </c>
      <c r="U383" t="s">
        <v>90</v>
      </c>
      <c r="V383" t="s">
        <v>66</v>
      </c>
      <c r="W383" t="s">
        <v>66</v>
      </c>
      <c r="X383" t="s">
        <v>66</v>
      </c>
      <c r="Y383" t="s">
        <v>66</v>
      </c>
      <c r="Z383" s="99" t="str">
        <f t="shared" ca="1" si="28"/>
        <v/>
      </c>
      <c r="AA383" s="101" t="str">
        <f t="shared" ca="1" si="29"/>
        <v/>
      </c>
    </row>
    <row r="384" spans="2:27" ht="27.6" customHeight="1">
      <c r="B384">
        <f t="shared" ca="1" si="25"/>
        <v>0</v>
      </c>
      <c r="C384" t="s">
        <v>36</v>
      </c>
      <c r="G384" s="75">
        <v>1</v>
      </c>
      <c r="J384" s="66" t="str">
        <f t="shared" ca="1" si="26"/>
        <v>14%</v>
      </c>
      <c r="K384" t="s">
        <v>59</v>
      </c>
      <c r="L384" s="66" t="str">
        <f t="shared" ca="1" si="27"/>
        <v>Sin costo</v>
      </c>
      <c r="M384" t="s">
        <v>64</v>
      </c>
      <c r="N384" t="s">
        <v>66</v>
      </c>
      <c r="O384" t="s">
        <v>66</v>
      </c>
      <c r="P384" t="s">
        <v>66</v>
      </c>
      <c r="R384" t="s">
        <v>66</v>
      </c>
      <c r="U384" t="s">
        <v>90</v>
      </c>
      <c r="V384" t="s">
        <v>66</v>
      </c>
      <c r="W384" t="s">
        <v>66</v>
      </c>
      <c r="X384" t="s">
        <v>66</v>
      </c>
      <c r="Y384" t="s">
        <v>66</v>
      </c>
      <c r="Z384" s="99" t="str">
        <f t="shared" ca="1" si="28"/>
        <v/>
      </c>
      <c r="AA384" s="101" t="str">
        <f t="shared" ca="1" si="29"/>
        <v/>
      </c>
    </row>
    <row r="385" spans="2:27" ht="27.6" customHeight="1">
      <c r="B385">
        <f t="shared" ca="1" si="25"/>
        <v>0</v>
      </c>
      <c r="C385" t="s">
        <v>36</v>
      </c>
      <c r="G385" s="75">
        <v>1</v>
      </c>
      <c r="J385" s="66" t="str">
        <f t="shared" ca="1" si="26"/>
        <v>14%</v>
      </c>
      <c r="K385" t="s">
        <v>59</v>
      </c>
      <c r="L385" s="66" t="str">
        <f t="shared" ca="1" si="27"/>
        <v>Sin costo</v>
      </c>
      <c r="M385" t="s">
        <v>64</v>
      </c>
      <c r="N385" t="s">
        <v>66</v>
      </c>
      <c r="O385" t="s">
        <v>66</v>
      </c>
      <c r="P385" t="s">
        <v>66</v>
      </c>
      <c r="R385" t="s">
        <v>66</v>
      </c>
      <c r="U385" t="s">
        <v>90</v>
      </c>
      <c r="V385" t="s">
        <v>66</v>
      </c>
      <c r="W385" t="s">
        <v>66</v>
      </c>
      <c r="X385" t="s">
        <v>66</v>
      </c>
      <c r="Y385" t="s">
        <v>66</v>
      </c>
      <c r="Z385" s="99" t="str">
        <f t="shared" ca="1" si="28"/>
        <v/>
      </c>
      <c r="AA385" s="101" t="str">
        <f t="shared" ca="1" si="29"/>
        <v/>
      </c>
    </row>
    <row r="386" spans="2:27" ht="27.6" customHeight="1">
      <c r="B386">
        <f t="shared" ca="1" si="25"/>
        <v>0</v>
      </c>
      <c r="C386" t="s">
        <v>36</v>
      </c>
      <c r="G386" s="75">
        <v>1</v>
      </c>
      <c r="J386" s="66" t="str">
        <f t="shared" ca="1" si="26"/>
        <v>14%</v>
      </c>
      <c r="K386" t="s">
        <v>59</v>
      </c>
      <c r="L386" s="66" t="str">
        <f t="shared" ca="1" si="27"/>
        <v>Sin costo</v>
      </c>
      <c r="M386" t="s">
        <v>64</v>
      </c>
      <c r="N386" t="s">
        <v>66</v>
      </c>
      <c r="O386" t="s">
        <v>66</v>
      </c>
      <c r="P386" t="s">
        <v>66</v>
      </c>
      <c r="R386" t="s">
        <v>66</v>
      </c>
      <c r="U386" t="s">
        <v>90</v>
      </c>
      <c r="V386" t="s">
        <v>66</v>
      </c>
      <c r="W386" t="s">
        <v>66</v>
      </c>
      <c r="X386" t="s">
        <v>66</v>
      </c>
      <c r="Y386" t="s">
        <v>66</v>
      </c>
      <c r="Z386" s="99" t="str">
        <f t="shared" ca="1" si="28"/>
        <v/>
      </c>
      <c r="AA386" s="101" t="str">
        <f t="shared" ca="1" si="29"/>
        <v/>
      </c>
    </row>
    <row r="387" spans="2:27" ht="27.6" customHeight="1">
      <c r="B387">
        <f t="shared" ca="1" si="25"/>
        <v>0</v>
      </c>
      <c r="C387" t="s">
        <v>36</v>
      </c>
      <c r="G387" s="75">
        <v>1</v>
      </c>
      <c r="J387" s="66" t="str">
        <f t="shared" ca="1" si="26"/>
        <v>14%</v>
      </c>
      <c r="K387" t="s">
        <v>59</v>
      </c>
      <c r="L387" s="66" t="str">
        <f t="shared" ca="1" si="27"/>
        <v>Sin costo</v>
      </c>
      <c r="M387" t="s">
        <v>64</v>
      </c>
      <c r="N387" t="s">
        <v>66</v>
      </c>
      <c r="O387" t="s">
        <v>66</v>
      </c>
      <c r="P387" t="s">
        <v>66</v>
      </c>
      <c r="R387" t="s">
        <v>66</v>
      </c>
      <c r="U387" t="s">
        <v>90</v>
      </c>
      <c r="V387" t="s">
        <v>66</v>
      </c>
      <c r="W387" t="s">
        <v>66</v>
      </c>
      <c r="X387" t="s">
        <v>66</v>
      </c>
      <c r="Y387" t="s">
        <v>66</v>
      </c>
      <c r="Z387" s="99" t="str">
        <f t="shared" ca="1" si="28"/>
        <v/>
      </c>
      <c r="AA387" s="101" t="str">
        <f t="shared" ca="1" si="29"/>
        <v/>
      </c>
    </row>
    <row r="388" spans="2:27" ht="27.6" customHeight="1">
      <c r="B388">
        <f t="shared" ca="1" si="25"/>
        <v>0</v>
      </c>
      <c r="C388" t="s">
        <v>36</v>
      </c>
      <c r="G388" s="75">
        <v>1</v>
      </c>
      <c r="J388" s="66" t="str">
        <f t="shared" ca="1" si="26"/>
        <v>14%</v>
      </c>
      <c r="K388" t="s">
        <v>59</v>
      </c>
      <c r="L388" s="66" t="str">
        <f t="shared" ca="1" si="27"/>
        <v>Sin costo</v>
      </c>
      <c r="M388" t="s">
        <v>64</v>
      </c>
      <c r="N388" t="s">
        <v>66</v>
      </c>
      <c r="O388" t="s">
        <v>66</v>
      </c>
      <c r="P388" t="s">
        <v>66</v>
      </c>
      <c r="R388" t="s">
        <v>66</v>
      </c>
      <c r="U388" t="s">
        <v>90</v>
      </c>
      <c r="V388" t="s">
        <v>66</v>
      </c>
      <c r="W388" t="s">
        <v>66</v>
      </c>
      <c r="X388" t="s">
        <v>66</v>
      </c>
      <c r="Y388" t="s">
        <v>66</v>
      </c>
      <c r="Z388" s="99" t="str">
        <f t="shared" ca="1" si="28"/>
        <v/>
      </c>
      <c r="AA388" s="101" t="str">
        <f t="shared" ca="1" si="29"/>
        <v/>
      </c>
    </row>
    <row r="389" spans="2:27" ht="27.6" customHeight="1">
      <c r="B389">
        <f t="shared" ca="1" si="25"/>
        <v>0</v>
      </c>
      <c r="C389" t="s">
        <v>36</v>
      </c>
      <c r="G389" s="75">
        <v>1</v>
      </c>
      <c r="J389" s="66" t="str">
        <f t="shared" ca="1" si="26"/>
        <v>14%</v>
      </c>
      <c r="K389" t="s">
        <v>59</v>
      </c>
      <c r="L389" s="66" t="str">
        <f t="shared" ca="1" si="27"/>
        <v>Sin costo</v>
      </c>
      <c r="M389" t="s">
        <v>64</v>
      </c>
      <c r="N389" t="s">
        <v>66</v>
      </c>
      <c r="O389" t="s">
        <v>66</v>
      </c>
      <c r="P389" t="s">
        <v>66</v>
      </c>
      <c r="R389" t="s">
        <v>66</v>
      </c>
      <c r="U389" t="s">
        <v>90</v>
      </c>
      <c r="V389" t="s">
        <v>66</v>
      </c>
      <c r="W389" t="s">
        <v>66</v>
      </c>
      <c r="X389" t="s">
        <v>66</v>
      </c>
      <c r="Y389" t="s">
        <v>66</v>
      </c>
      <c r="Z389" s="99" t="str">
        <f t="shared" ca="1" si="28"/>
        <v/>
      </c>
      <c r="AA389" s="101" t="str">
        <f t="shared" ca="1" si="29"/>
        <v/>
      </c>
    </row>
    <row r="390" spans="2:27" ht="27.6" customHeight="1">
      <c r="B390">
        <f t="shared" ca="1" si="25"/>
        <v>0</v>
      </c>
      <c r="C390" t="s">
        <v>36</v>
      </c>
      <c r="G390" s="75">
        <v>1</v>
      </c>
      <c r="J390" s="66" t="str">
        <f t="shared" ca="1" si="26"/>
        <v>14%</v>
      </c>
      <c r="K390" t="s">
        <v>59</v>
      </c>
      <c r="L390" s="66" t="str">
        <f t="shared" ca="1" si="27"/>
        <v>Sin costo</v>
      </c>
      <c r="M390" t="s">
        <v>64</v>
      </c>
      <c r="N390" t="s">
        <v>66</v>
      </c>
      <c r="O390" t="s">
        <v>66</v>
      </c>
      <c r="P390" t="s">
        <v>66</v>
      </c>
      <c r="R390" t="s">
        <v>66</v>
      </c>
      <c r="U390" t="s">
        <v>90</v>
      </c>
      <c r="V390" t="s">
        <v>66</v>
      </c>
      <c r="W390" t="s">
        <v>66</v>
      </c>
      <c r="X390" t="s">
        <v>66</v>
      </c>
      <c r="Y390" t="s">
        <v>66</v>
      </c>
      <c r="Z390" s="99" t="str">
        <f t="shared" ca="1" si="28"/>
        <v/>
      </c>
      <c r="AA390" s="101" t="str">
        <f t="shared" ca="1" si="29"/>
        <v/>
      </c>
    </row>
    <row r="391" spans="2:27" ht="27.6" customHeight="1">
      <c r="B391">
        <f t="shared" ref="B391:B454" ca="1" si="30">LEN(INDIRECT(ADDRESS(ROW() + (0),COLUMN() + (-1))))</f>
        <v>0</v>
      </c>
      <c r="C391" t="s">
        <v>36</v>
      </c>
      <c r="G391" s="75">
        <v>1</v>
      </c>
      <c r="J391" s="66" t="str">
        <f t="shared" ref="J391:J454" ca="1" si="31">IF(INDIRECT(ADDRESS(ROW() + (0),COLUMN() + (1)))="Agregar cuotas", IF(("14%")="", "-", "14%"), IF(INDIRECT(ADDRESS(ROW() + (0),COLUMN() + (1)))="No agregar cuotas", IF(("14%")="", "-", "14%"), "-"))</f>
        <v>14%</v>
      </c>
      <c r="K391" t="s">
        <v>59</v>
      </c>
      <c r="L391" s="66" t="str">
        <f t="shared" ref="L391:L454" ca="1" si="32">IF(INDIRECT(ADDRESS(ROW() + (0),COLUMN() + (-1)))="Agregar cuotas", IF(("13.9%")="", "Sin costo", "13.9%"), IF(INDIRECT(ADDRESS(ROW() + (0),COLUMN() + (-1)))="No agregar cuotas", IF(("")="", "Sin costo", ""), "-"))</f>
        <v>Sin costo</v>
      </c>
      <c r="M391" t="s">
        <v>64</v>
      </c>
      <c r="N391" t="s">
        <v>66</v>
      </c>
      <c r="O391" t="s">
        <v>66</v>
      </c>
      <c r="P391" t="s">
        <v>66</v>
      </c>
      <c r="R391" t="s">
        <v>66</v>
      </c>
      <c r="U391" t="s">
        <v>90</v>
      </c>
      <c r="V391" t="s">
        <v>66</v>
      </c>
      <c r="W391" t="s">
        <v>66</v>
      </c>
      <c r="X391" t="s">
        <v>66</v>
      </c>
      <c r="Y391" t="s">
        <v>66</v>
      </c>
      <c r="Z391" s="99" t="str">
        <f t="shared" ref="Z391:Z454" ca="1" si="3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391" s="101" t="str">
        <f t="shared" ref="AA391:AA454" ca="1" si="34">IF(TRIM(INDIRECT("A"&amp;ROW())) &lt;&gt; "",FALSE,"")</f>
        <v/>
      </c>
    </row>
    <row r="392" spans="2:27" ht="27.6" customHeight="1">
      <c r="B392">
        <f t="shared" ca="1" si="30"/>
        <v>0</v>
      </c>
      <c r="C392" t="s">
        <v>36</v>
      </c>
      <c r="G392" s="75">
        <v>1</v>
      </c>
      <c r="J392" s="66" t="str">
        <f t="shared" ca="1" si="31"/>
        <v>14%</v>
      </c>
      <c r="K392" t="s">
        <v>59</v>
      </c>
      <c r="L392" s="66" t="str">
        <f t="shared" ca="1" si="32"/>
        <v>Sin costo</v>
      </c>
      <c r="M392" t="s">
        <v>64</v>
      </c>
      <c r="N392" t="s">
        <v>66</v>
      </c>
      <c r="O392" t="s">
        <v>66</v>
      </c>
      <c r="P392" t="s">
        <v>66</v>
      </c>
      <c r="R392" t="s">
        <v>66</v>
      </c>
      <c r="U392" t="s">
        <v>90</v>
      </c>
      <c r="V392" t="s">
        <v>66</v>
      </c>
      <c r="W392" t="s">
        <v>66</v>
      </c>
      <c r="X392" t="s">
        <v>66</v>
      </c>
      <c r="Y392" t="s">
        <v>66</v>
      </c>
      <c r="Z392" s="99" t="str">
        <f t="shared" ca="1" si="33"/>
        <v/>
      </c>
      <c r="AA392" s="101" t="str">
        <f t="shared" ca="1" si="34"/>
        <v/>
      </c>
    </row>
    <row r="393" spans="2:27" ht="27.6" customHeight="1">
      <c r="B393">
        <f t="shared" ca="1" si="30"/>
        <v>0</v>
      </c>
      <c r="C393" t="s">
        <v>36</v>
      </c>
      <c r="G393" s="75">
        <v>1</v>
      </c>
      <c r="J393" s="66" t="str">
        <f t="shared" ca="1" si="31"/>
        <v>14%</v>
      </c>
      <c r="K393" t="s">
        <v>59</v>
      </c>
      <c r="L393" s="66" t="str">
        <f t="shared" ca="1" si="32"/>
        <v>Sin costo</v>
      </c>
      <c r="M393" t="s">
        <v>64</v>
      </c>
      <c r="N393" t="s">
        <v>66</v>
      </c>
      <c r="O393" t="s">
        <v>66</v>
      </c>
      <c r="P393" t="s">
        <v>66</v>
      </c>
      <c r="R393" t="s">
        <v>66</v>
      </c>
      <c r="U393" t="s">
        <v>90</v>
      </c>
      <c r="V393" t="s">
        <v>66</v>
      </c>
      <c r="W393" t="s">
        <v>66</v>
      </c>
      <c r="X393" t="s">
        <v>66</v>
      </c>
      <c r="Y393" t="s">
        <v>66</v>
      </c>
      <c r="Z393" s="99" t="str">
        <f t="shared" ca="1" si="33"/>
        <v/>
      </c>
      <c r="AA393" s="101" t="str">
        <f t="shared" ca="1" si="34"/>
        <v/>
      </c>
    </row>
    <row r="394" spans="2:27" ht="27.6" customHeight="1">
      <c r="B394">
        <f t="shared" ca="1" si="30"/>
        <v>0</v>
      </c>
      <c r="C394" t="s">
        <v>36</v>
      </c>
      <c r="G394" s="75">
        <v>1</v>
      </c>
      <c r="J394" s="66" t="str">
        <f t="shared" ca="1" si="31"/>
        <v>14%</v>
      </c>
      <c r="K394" t="s">
        <v>59</v>
      </c>
      <c r="L394" s="66" t="str">
        <f t="shared" ca="1" si="32"/>
        <v>Sin costo</v>
      </c>
      <c r="M394" t="s">
        <v>64</v>
      </c>
      <c r="N394" t="s">
        <v>66</v>
      </c>
      <c r="O394" t="s">
        <v>66</v>
      </c>
      <c r="P394" t="s">
        <v>66</v>
      </c>
      <c r="R394" t="s">
        <v>66</v>
      </c>
      <c r="U394" t="s">
        <v>90</v>
      </c>
      <c r="V394" t="s">
        <v>66</v>
      </c>
      <c r="W394" t="s">
        <v>66</v>
      </c>
      <c r="X394" t="s">
        <v>66</v>
      </c>
      <c r="Y394" t="s">
        <v>66</v>
      </c>
      <c r="Z394" s="99" t="str">
        <f t="shared" ca="1" si="33"/>
        <v/>
      </c>
      <c r="AA394" s="101" t="str">
        <f t="shared" ca="1" si="34"/>
        <v/>
      </c>
    </row>
    <row r="395" spans="2:27" ht="27.6" customHeight="1">
      <c r="B395">
        <f t="shared" ca="1" si="30"/>
        <v>0</v>
      </c>
      <c r="C395" t="s">
        <v>36</v>
      </c>
      <c r="G395" s="75">
        <v>1</v>
      </c>
      <c r="J395" s="66" t="str">
        <f t="shared" ca="1" si="31"/>
        <v>14%</v>
      </c>
      <c r="K395" t="s">
        <v>59</v>
      </c>
      <c r="L395" s="66" t="str">
        <f t="shared" ca="1" si="32"/>
        <v>Sin costo</v>
      </c>
      <c r="M395" t="s">
        <v>64</v>
      </c>
      <c r="N395" t="s">
        <v>66</v>
      </c>
      <c r="O395" t="s">
        <v>66</v>
      </c>
      <c r="P395" t="s">
        <v>66</v>
      </c>
      <c r="R395" t="s">
        <v>66</v>
      </c>
      <c r="U395" t="s">
        <v>90</v>
      </c>
      <c r="V395" t="s">
        <v>66</v>
      </c>
      <c r="W395" t="s">
        <v>66</v>
      </c>
      <c r="X395" t="s">
        <v>66</v>
      </c>
      <c r="Y395" t="s">
        <v>66</v>
      </c>
      <c r="Z395" s="99" t="str">
        <f t="shared" ca="1" si="33"/>
        <v/>
      </c>
      <c r="AA395" s="101" t="str">
        <f t="shared" ca="1" si="34"/>
        <v/>
      </c>
    </row>
    <row r="396" spans="2:27" ht="27.6" customHeight="1">
      <c r="B396">
        <f t="shared" ca="1" si="30"/>
        <v>0</v>
      </c>
      <c r="C396" t="s">
        <v>36</v>
      </c>
      <c r="G396" s="75">
        <v>1</v>
      </c>
      <c r="J396" s="66" t="str">
        <f t="shared" ca="1" si="31"/>
        <v>14%</v>
      </c>
      <c r="K396" t="s">
        <v>59</v>
      </c>
      <c r="L396" s="66" t="str">
        <f t="shared" ca="1" si="32"/>
        <v>Sin costo</v>
      </c>
      <c r="M396" t="s">
        <v>64</v>
      </c>
      <c r="N396" t="s">
        <v>66</v>
      </c>
      <c r="O396" t="s">
        <v>66</v>
      </c>
      <c r="P396" t="s">
        <v>66</v>
      </c>
      <c r="R396" t="s">
        <v>66</v>
      </c>
      <c r="U396" t="s">
        <v>90</v>
      </c>
      <c r="V396" t="s">
        <v>66</v>
      </c>
      <c r="W396" t="s">
        <v>66</v>
      </c>
      <c r="X396" t="s">
        <v>66</v>
      </c>
      <c r="Y396" t="s">
        <v>66</v>
      </c>
      <c r="Z396" s="99" t="str">
        <f t="shared" ca="1" si="33"/>
        <v/>
      </c>
      <c r="AA396" s="101" t="str">
        <f t="shared" ca="1" si="34"/>
        <v/>
      </c>
    </row>
    <row r="397" spans="2:27" ht="27.6" customHeight="1">
      <c r="B397">
        <f t="shared" ca="1" si="30"/>
        <v>0</v>
      </c>
      <c r="C397" t="s">
        <v>36</v>
      </c>
      <c r="G397" s="75">
        <v>1</v>
      </c>
      <c r="J397" s="66" t="str">
        <f t="shared" ca="1" si="31"/>
        <v>14%</v>
      </c>
      <c r="K397" t="s">
        <v>59</v>
      </c>
      <c r="L397" s="66" t="str">
        <f t="shared" ca="1" si="32"/>
        <v>Sin costo</v>
      </c>
      <c r="M397" t="s">
        <v>64</v>
      </c>
      <c r="N397" t="s">
        <v>66</v>
      </c>
      <c r="O397" t="s">
        <v>66</v>
      </c>
      <c r="P397" t="s">
        <v>66</v>
      </c>
      <c r="R397" t="s">
        <v>66</v>
      </c>
      <c r="U397" t="s">
        <v>90</v>
      </c>
      <c r="V397" t="s">
        <v>66</v>
      </c>
      <c r="W397" t="s">
        <v>66</v>
      </c>
      <c r="X397" t="s">
        <v>66</v>
      </c>
      <c r="Y397" t="s">
        <v>66</v>
      </c>
      <c r="Z397" s="99" t="str">
        <f t="shared" ca="1" si="33"/>
        <v/>
      </c>
      <c r="AA397" s="101" t="str">
        <f t="shared" ca="1" si="34"/>
        <v/>
      </c>
    </row>
    <row r="398" spans="2:27" ht="27.6" customHeight="1">
      <c r="B398">
        <f t="shared" ca="1" si="30"/>
        <v>0</v>
      </c>
      <c r="C398" t="s">
        <v>36</v>
      </c>
      <c r="G398" s="75">
        <v>1</v>
      </c>
      <c r="J398" s="66" t="str">
        <f t="shared" ca="1" si="31"/>
        <v>14%</v>
      </c>
      <c r="K398" t="s">
        <v>59</v>
      </c>
      <c r="L398" s="66" t="str">
        <f t="shared" ca="1" si="32"/>
        <v>Sin costo</v>
      </c>
      <c r="M398" t="s">
        <v>64</v>
      </c>
      <c r="N398" t="s">
        <v>66</v>
      </c>
      <c r="O398" t="s">
        <v>66</v>
      </c>
      <c r="P398" t="s">
        <v>66</v>
      </c>
      <c r="R398" t="s">
        <v>66</v>
      </c>
      <c r="U398" t="s">
        <v>90</v>
      </c>
      <c r="V398" t="s">
        <v>66</v>
      </c>
      <c r="W398" t="s">
        <v>66</v>
      </c>
      <c r="X398" t="s">
        <v>66</v>
      </c>
      <c r="Y398" t="s">
        <v>66</v>
      </c>
      <c r="Z398" s="99" t="str">
        <f t="shared" ca="1" si="33"/>
        <v/>
      </c>
      <c r="AA398" s="101" t="str">
        <f t="shared" ca="1" si="34"/>
        <v/>
      </c>
    </row>
    <row r="399" spans="2:27" ht="27.6" customHeight="1">
      <c r="B399">
        <f t="shared" ca="1" si="30"/>
        <v>0</v>
      </c>
      <c r="C399" t="s">
        <v>36</v>
      </c>
      <c r="G399" s="75">
        <v>1</v>
      </c>
      <c r="J399" s="66" t="str">
        <f t="shared" ca="1" si="31"/>
        <v>14%</v>
      </c>
      <c r="K399" t="s">
        <v>59</v>
      </c>
      <c r="L399" s="66" t="str">
        <f t="shared" ca="1" si="32"/>
        <v>Sin costo</v>
      </c>
      <c r="M399" t="s">
        <v>64</v>
      </c>
      <c r="N399" t="s">
        <v>66</v>
      </c>
      <c r="O399" t="s">
        <v>66</v>
      </c>
      <c r="P399" t="s">
        <v>66</v>
      </c>
      <c r="R399" t="s">
        <v>66</v>
      </c>
      <c r="U399" t="s">
        <v>90</v>
      </c>
      <c r="V399" t="s">
        <v>66</v>
      </c>
      <c r="W399" t="s">
        <v>66</v>
      </c>
      <c r="X399" t="s">
        <v>66</v>
      </c>
      <c r="Y399" t="s">
        <v>66</v>
      </c>
      <c r="Z399" s="99" t="str">
        <f t="shared" ca="1" si="33"/>
        <v/>
      </c>
      <c r="AA399" s="101" t="str">
        <f t="shared" ca="1" si="34"/>
        <v/>
      </c>
    </row>
    <row r="400" spans="2:27" ht="27.6" customHeight="1">
      <c r="B400">
        <f t="shared" ca="1" si="30"/>
        <v>0</v>
      </c>
      <c r="C400" t="s">
        <v>36</v>
      </c>
      <c r="G400" s="75">
        <v>1</v>
      </c>
      <c r="J400" s="66" t="str">
        <f t="shared" ca="1" si="31"/>
        <v>14%</v>
      </c>
      <c r="K400" t="s">
        <v>59</v>
      </c>
      <c r="L400" s="66" t="str">
        <f t="shared" ca="1" si="32"/>
        <v>Sin costo</v>
      </c>
      <c r="M400" t="s">
        <v>64</v>
      </c>
      <c r="N400" t="s">
        <v>66</v>
      </c>
      <c r="O400" t="s">
        <v>66</v>
      </c>
      <c r="P400" t="s">
        <v>66</v>
      </c>
      <c r="R400" t="s">
        <v>66</v>
      </c>
      <c r="U400" t="s">
        <v>90</v>
      </c>
      <c r="V400" t="s">
        <v>66</v>
      </c>
      <c r="W400" t="s">
        <v>66</v>
      </c>
      <c r="X400" t="s">
        <v>66</v>
      </c>
      <c r="Y400" t="s">
        <v>66</v>
      </c>
      <c r="Z400" s="99" t="str">
        <f t="shared" ca="1" si="33"/>
        <v/>
      </c>
      <c r="AA400" s="101" t="str">
        <f t="shared" ca="1" si="34"/>
        <v/>
      </c>
    </row>
    <row r="401" spans="2:27" ht="27.6" customHeight="1">
      <c r="B401">
        <f t="shared" ca="1" si="30"/>
        <v>0</v>
      </c>
      <c r="C401" t="s">
        <v>36</v>
      </c>
      <c r="G401" s="75">
        <v>1</v>
      </c>
      <c r="J401" s="66" t="str">
        <f t="shared" ca="1" si="31"/>
        <v>14%</v>
      </c>
      <c r="K401" t="s">
        <v>59</v>
      </c>
      <c r="L401" s="66" t="str">
        <f t="shared" ca="1" si="32"/>
        <v>Sin costo</v>
      </c>
      <c r="M401" t="s">
        <v>64</v>
      </c>
      <c r="N401" t="s">
        <v>66</v>
      </c>
      <c r="O401" t="s">
        <v>66</v>
      </c>
      <c r="P401" t="s">
        <v>66</v>
      </c>
      <c r="R401" t="s">
        <v>66</v>
      </c>
      <c r="U401" t="s">
        <v>90</v>
      </c>
      <c r="V401" t="s">
        <v>66</v>
      </c>
      <c r="W401" t="s">
        <v>66</v>
      </c>
      <c r="X401" t="s">
        <v>66</v>
      </c>
      <c r="Y401" t="s">
        <v>66</v>
      </c>
      <c r="Z401" s="99" t="str">
        <f t="shared" ca="1" si="33"/>
        <v/>
      </c>
      <c r="AA401" s="101" t="str">
        <f t="shared" ca="1" si="34"/>
        <v/>
      </c>
    </row>
    <row r="402" spans="2:27" ht="27.6" customHeight="1">
      <c r="B402">
        <f t="shared" ca="1" si="30"/>
        <v>0</v>
      </c>
      <c r="C402" t="s">
        <v>36</v>
      </c>
      <c r="G402" s="75">
        <v>1</v>
      </c>
      <c r="J402" s="66" t="str">
        <f t="shared" ca="1" si="31"/>
        <v>14%</v>
      </c>
      <c r="K402" t="s">
        <v>59</v>
      </c>
      <c r="L402" s="66" t="str">
        <f t="shared" ca="1" si="32"/>
        <v>Sin costo</v>
      </c>
      <c r="M402" t="s">
        <v>64</v>
      </c>
      <c r="N402" t="s">
        <v>66</v>
      </c>
      <c r="O402" t="s">
        <v>66</v>
      </c>
      <c r="P402" t="s">
        <v>66</v>
      </c>
      <c r="R402" t="s">
        <v>66</v>
      </c>
      <c r="U402" t="s">
        <v>90</v>
      </c>
      <c r="V402" t="s">
        <v>66</v>
      </c>
      <c r="W402" t="s">
        <v>66</v>
      </c>
      <c r="X402" t="s">
        <v>66</v>
      </c>
      <c r="Y402" t="s">
        <v>66</v>
      </c>
      <c r="Z402" s="99" t="str">
        <f t="shared" ca="1" si="33"/>
        <v/>
      </c>
      <c r="AA402" s="101" t="str">
        <f t="shared" ca="1" si="34"/>
        <v/>
      </c>
    </row>
    <row r="403" spans="2:27" ht="27.6" customHeight="1">
      <c r="B403">
        <f t="shared" ca="1" si="30"/>
        <v>0</v>
      </c>
      <c r="C403" t="s">
        <v>36</v>
      </c>
      <c r="G403" s="75">
        <v>1</v>
      </c>
      <c r="J403" s="66" t="str">
        <f t="shared" ca="1" si="31"/>
        <v>14%</v>
      </c>
      <c r="K403" t="s">
        <v>59</v>
      </c>
      <c r="L403" s="66" t="str">
        <f t="shared" ca="1" si="32"/>
        <v>Sin costo</v>
      </c>
      <c r="M403" t="s">
        <v>64</v>
      </c>
      <c r="N403" t="s">
        <v>66</v>
      </c>
      <c r="O403" t="s">
        <v>66</v>
      </c>
      <c r="P403" t="s">
        <v>66</v>
      </c>
      <c r="R403" t="s">
        <v>66</v>
      </c>
      <c r="U403" t="s">
        <v>90</v>
      </c>
      <c r="V403" t="s">
        <v>66</v>
      </c>
      <c r="W403" t="s">
        <v>66</v>
      </c>
      <c r="X403" t="s">
        <v>66</v>
      </c>
      <c r="Y403" t="s">
        <v>66</v>
      </c>
      <c r="Z403" s="99" t="str">
        <f t="shared" ca="1" si="33"/>
        <v/>
      </c>
      <c r="AA403" s="101" t="str">
        <f t="shared" ca="1" si="34"/>
        <v/>
      </c>
    </row>
    <row r="404" spans="2:27" ht="27.6" customHeight="1">
      <c r="B404">
        <f t="shared" ca="1" si="30"/>
        <v>0</v>
      </c>
      <c r="C404" t="s">
        <v>36</v>
      </c>
      <c r="G404" s="75">
        <v>1</v>
      </c>
      <c r="J404" s="66" t="str">
        <f t="shared" ca="1" si="31"/>
        <v>14%</v>
      </c>
      <c r="K404" t="s">
        <v>59</v>
      </c>
      <c r="L404" s="66" t="str">
        <f t="shared" ca="1" si="32"/>
        <v>Sin costo</v>
      </c>
      <c r="M404" t="s">
        <v>64</v>
      </c>
      <c r="N404" t="s">
        <v>66</v>
      </c>
      <c r="O404" t="s">
        <v>66</v>
      </c>
      <c r="P404" t="s">
        <v>66</v>
      </c>
      <c r="R404" t="s">
        <v>66</v>
      </c>
      <c r="U404" t="s">
        <v>90</v>
      </c>
      <c r="V404" t="s">
        <v>66</v>
      </c>
      <c r="W404" t="s">
        <v>66</v>
      </c>
      <c r="X404" t="s">
        <v>66</v>
      </c>
      <c r="Y404" t="s">
        <v>66</v>
      </c>
      <c r="Z404" s="99" t="str">
        <f t="shared" ca="1" si="33"/>
        <v/>
      </c>
      <c r="AA404" s="101" t="str">
        <f t="shared" ca="1" si="34"/>
        <v/>
      </c>
    </row>
    <row r="405" spans="2:27" ht="27.6" customHeight="1">
      <c r="B405">
        <f t="shared" ca="1" si="30"/>
        <v>0</v>
      </c>
      <c r="C405" t="s">
        <v>36</v>
      </c>
      <c r="G405" s="75">
        <v>1</v>
      </c>
      <c r="J405" s="66" t="str">
        <f t="shared" ca="1" si="31"/>
        <v>14%</v>
      </c>
      <c r="K405" t="s">
        <v>59</v>
      </c>
      <c r="L405" s="66" t="str">
        <f t="shared" ca="1" si="32"/>
        <v>Sin costo</v>
      </c>
      <c r="M405" t="s">
        <v>64</v>
      </c>
      <c r="N405" t="s">
        <v>66</v>
      </c>
      <c r="O405" t="s">
        <v>66</v>
      </c>
      <c r="P405" t="s">
        <v>66</v>
      </c>
      <c r="R405" t="s">
        <v>66</v>
      </c>
      <c r="U405" t="s">
        <v>90</v>
      </c>
      <c r="V405" t="s">
        <v>66</v>
      </c>
      <c r="W405" t="s">
        <v>66</v>
      </c>
      <c r="X405" t="s">
        <v>66</v>
      </c>
      <c r="Y405" t="s">
        <v>66</v>
      </c>
      <c r="Z405" s="99" t="str">
        <f t="shared" ca="1" si="33"/>
        <v/>
      </c>
      <c r="AA405" s="101" t="str">
        <f t="shared" ca="1" si="34"/>
        <v/>
      </c>
    </row>
    <row r="406" spans="2:27" ht="27.6" customHeight="1">
      <c r="B406">
        <f t="shared" ca="1" si="30"/>
        <v>0</v>
      </c>
      <c r="C406" t="s">
        <v>36</v>
      </c>
      <c r="G406" s="75">
        <v>1</v>
      </c>
      <c r="J406" s="66" t="str">
        <f t="shared" ca="1" si="31"/>
        <v>14%</v>
      </c>
      <c r="K406" t="s">
        <v>59</v>
      </c>
      <c r="L406" s="66" t="str">
        <f t="shared" ca="1" si="32"/>
        <v>Sin costo</v>
      </c>
      <c r="M406" t="s">
        <v>64</v>
      </c>
      <c r="N406" t="s">
        <v>66</v>
      </c>
      <c r="O406" t="s">
        <v>66</v>
      </c>
      <c r="P406" t="s">
        <v>66</v>
      </c>
      <c r="R406" t="s">
        <v>66</v>
      </c>
      <c r="U406" t="s">
        <v>90</v>
      </c>
      <c r="V406" t="s">
        <v>66</v>
      </c>
      <c r="W406" t="s">
        <v>66</v>
      </c>
      <c r="X406" t="s">
        <v>66</v>
      </c>
      <c r="Y406" t="s">
        <v>66</v>
      </c>
      <c r="Z406" s="99" t="str">
        <f t="shared" ca="1" si="33"/>
        <v/>
      </c>
      <c r="AA406" s="101" t="str">
        <f t="shared" ca="1" si="34"/>
        <v/>
      </c>
    </row>
    <row r="407" spans="2:27" ht="27.6" customHeight="1">
      <c r="B407">
        <f t="shared" ca="1" si="30"/>
        <v>0</v>
      </c>
      <c r="C407" t="s">
        <v>36</v>
      </c>
      <c r="G407" s="75">
        <v>1</v>
      </c>
      <c r="J407" s="66" t="str">
        <f t="shared" ca="1" si="31"/>
        <v>14%</v>
      </c>
      <c r="K407" t="s">
        <v>59</v>
      </c>
      <c r="L407" s="66" t="str">
        <f t="shared" ca="1" si="32"/>
        <v>Sin costo</v>
      </c>
      <c r="M407" t="s">
        <v>64</v>
      </c>
      <c r="N407" t="s">
        <v>66</v>
      </c>
      <c r="O407" t="s">
        <v>66</v>
      </c>
      <c r="P407" t="s">
        <v>66</v>
      </c>
      <c r="R407" t="s">
        <v>66</v>
      </c>
      <c r="U407" t="s">
        <v>90</v>
      </c>
      <c r="V407" t="s">
        <v>66</v>
      </c>
      <c r="W407" t="s">
        <v>66</v>
      </c>
      <c r="X407" t="s">
        <v>66</v>
      </c>
      <c r="Y407" t="s">
        <v>66</v>
      </c>
      <c r="Z407" s="99" t="str">
        <f t="shared" ca="1" si="33"/>
        <v/>
      </c>
      <c r="AA407" s="101" t="str">
        <f t="shared" ca="1" si="34"/>
        <v/>
      </c>
    </row>
    <row r="408" spans="2:27" ht="27.6" customHeight="1">
      <c r="B408">
        <f t="shared" ca="1" si="30"/>
        <v>0</v>
      </c>
      <c r="C408" t="s">
        <v>36</v>
      </c>
      <c r="G408" s="75">
        <v>1</v>
      </c>
      <c r="J408" s="66" t="str">
        <f t="shared" ca="1" si="31"/>
        <v>14%</v>
      </c>
      <c r="K408" t="s">
        <v>59</v>
      </c>
      <c r="L408" s="66" t="str">
        <f t="shared" ca="1" si="32"/>
        <v>Sin costo</v>
      </c>
      <c r="M408" t="s">
        <v>64</v>
      </c>
      <c r="N408" t="s">
        <v>66</v>
      </c>
      <c r="O408" t="s">
        <v>66</v>
      </c>
      <c r="P408" t="s">
        <v>66</v>
      </c>
      <c r="R408" t="s">
        <v>66</v>
      </c>
      <c r="U408" t="s">
        <v>90</v>
      </c>
      <c r="V408" t="s">
        <v>66</v>
      </c>
      <c r="W408" t="s">
        <v>66</v>
      </c>
      <c r="X408" t="s">
        <v>66</v>
      </c>
      <c r="Y408" t="s">
        <v>66</v>
      </c>
      <c r="Z408" s="99" t="str">
        <f t="shared" ca="1" si="33"/>
        <v/>
      </c>
      <c r="AA408" s="101" t="str">
        <f t="shared" ca="1" si="34"/>
        <v/>
      </c>
    </row>
    <row r="409" spans="2:27" ht="27.6" customHeight="1">
      <c r="B409">
        <f t="shared" ca="1" si="30"/>
        <v>0</v>
      </c>
      <c r="C409" t="s">
        <v>36</v>
      </c>
      <c r="G409" s="75">
        <v>1</v>
      </c>
      <c r="J409" s="66" t="str">
        <f t="shared" ca="1" si="31"/>
        <v>14%</v>
      </c>
      <c r="K409" t="s">
        <v>59</v>
      </c>
      <c r="L409" s="66" t="str">
        <f t="shared" ca="1" si="32"/>
        <v>Sin costo</v>
      </c>
      <c r="M409" t="s">
        <v>64</v>
      </c>
      <c r="N409" t="s">
        <v>66</v>
      </c>
      <c r="O409" t="s">
        <v>66</v>
      </c>
      <c r="P409" t="s">
        <v>66</v>
      </c>
      <c r="R409" t="s">
        <v>66</v>
      </c>
      <c r="U409" t="s">
        <v>90</v>
      </c>
      <c r="V409" t="s">
        <v>66</v>
      </c>
      <c r="W409" t="s">
        <v>66</v>
      </c>
      <c r="X409" t="s">
        <v>66</v>
      </c>
      <c r="Y409" t="s">
        <v>66</v>
      </c>
      <c r="Z409" s="99" t="str">
        <f t="shared" ca="1" si="33"/>
        <v/>
      </c>
      <c r="AA409" s="101" t="str">
        <f t="shared" ca="1" si="34"/>
        <v/>
      </c>
    </row>
    <row r="410" spans="2:27" ht="27.6" customHeight="1">
      <c r="B410">
        <f t="shared" ca="1" si="30"/>
        <v>0</v>
      </c>
      <c r="C410" t="s">
        <v>36</v>
      </c>
      <c r="G410" s="75">
        <v>1</v>
      </c>
      <c r="J410" s="66" t="str">
        <f t="shared" ca="1" si="31"/>
        <v>14%</v>
      </c>
      <c r="K410" t="s">
        <v>59</v>
      </c>
      <c r="L410" s="66" t="str">
        <f t="shared" ca="1" si="32"/>
        <v>Sin costo</v>
      </c>
      <c r="M410" t="s">
        <v>64</v>
      </c>
      <c r="N410" t="s">
        <v>66</v>
      </c>
      <c r="O410" t="s">
        <v>66</v>
      </c>
      <c r="P410" t="s">
        <v>66</v>
      </c>
      <c r="R410" t="s">
        <v>66</v>
      </c>
      <c r="U410" t="s">
        <v>90</v>
      </c>
      <c r="V410" t="s">
        <v>66</v>
      </c>
      <c r="W410" t="s">
        <v>66</v>
      </c>
      <c r="X410" t="s">
        <v>66</v>
      </c>
      <c r="Y410" t="s">
        <v>66</v>
      </c>
      <c r="Z410" s="99" t="str">
        <f t="shared" ca="1" si="33"/>
        <v/>
      </c>
      <c r="AA410" s="101" t="str">
        <f t="shared" ca="1" si="34"/>
        <v/>
      </c>
    </row>
    <row r="411" spans="2:27" ht="27.6" customHeight="1">
      <c r="B411">
        <f t="shared" ca="1" si="30"/>
        <v>0</v>
      </c>
      <c r="C411" t="s">
        <v>36</v>
      </c>
      <c r="G411" s="75">
        <v>1</v>
      </c>
      <c r="J411" s="66" t="str">
        <f t="shared" ca="1" si="31"/>
        <v>14%</v>
      </c>
      <c r="K411" t="s">
        <v>59</v>
      </c>
      <c r="L411" s="66" t="str">
        <f t="shared" ca="1" si="32"/>
        <v>Sin costo</v>
      </c>
      <c r="M411" t="s">
        <v>64</v>
      </c>
      <c r="N411" t="s">
        <v>66</v>
      </c>
      <c r="O411" t="s">
        <v>66</v>
      </c>
      <c r="P411" t="s">
        <v>66</v>
      </c>
      <c r="R411" t="s">
        <v>66</v>
      </c>
      <c r="U411" t="s">
        <v>90</v>
      </c>
      <c r="V411" t="s">
        <v>66</v>
      </c>
      <c r="W411" t="s">
        <v>66</v>
      </c>
      <c r="X411" t="s">
        <v>66</v>
      </c>
      <c r="Y411" t="s">
        <v>66</v>
      </c>
      <c r="Z411" s="99" t="str">
        <f t="shared" ca="1" si="33"/>
        <v/>
      </c>
      <c r="AA411" s="101" t="str">
        <f t="shared" ca="1" si="34"/>
        <v/>
      </c>
    </row>
    <row r="412" spans="2:27" ht="27.6" customHeight="1">
      <c r="B412">
        <f t="shared" ca="1" si="30"/>
        <v>0</v>
      </c>
      <c r="C412" t="s">
        <v>36</v>
      </c>
      <c r="G412" s="75">
        <v>1</v>
      </c>
      <c r="J412" s="66" t="str">
        <f t="shared" ca="1" si="31"/>
        <v>14%</v>
      </c>
      <c r="K412" t="s">
        <v>59</v>
      </c>
      <c r="L412" s="66" t="str">
        <f t="shared" ca="1" si="32"/>
        <v>Sin costo</v>
      </c>
      <c r="M412" t="s">
        <v>64</v>
      </c>
      <c r="N412" t="s">
        <v>66</v>
      </c>
      <c r="O412" t="s">
        <v>66</v>
      </c>
      <c r="P412" t="s">
        <v>66</v>
      </c>
      <c r="R412" t="s">
        <v>66</v>
      </c>
      <c r="U412" t="s">
        <v>90</v>
      </c>
      <c r="V412" t="s">
        <v>66</v>
      </c>
      <c r="W412" t="s">
        <v>66</v>
      </c>
      <c r="X412" t="s">
        <v>66</v>
      </c>
      <c r="Y412" t="s">
        <v>66</v>
      </c>
      <c r="Z412" s="99" t="str">
        <f t="shared" ca="1" si="33"/>
        <v/>
      </c>
      <c r="AA412" s="101" t="str">
        <f t="shared" ca="1" si="34"/>
        <v/>
      </c>
    </row>
    <row r="413" spans="2:27" ht="27.6" customHeight="1">
      <c r="B413">
        <f t="shared" ca="1" si="30"/>
        <v>0</v>
      </c>
      <c r="C413" t="s">
        <v>36</v>
      </c>
      <c r="G413" s="75">
        <v>1</v>
      </c>
      <c r="J413" s="66" t="str">
        <f t="shared" ca="1" si="31"/>
        <v>14%</v>
      </c>
      <c r="K413" t="s">
        <v>59</v>
      </c>
      <c r="L413" s="66" t="str">
        <f t="shared" ca="1" si="32"/>
        <v>Sin costo</v>
      </c>
      <c r="M413" t="s">
        <v>64</v>
      </c>
      <c r="N413" t="s">
        <v>66</v>
      </c>
      <c r="O413" t="s">
        <v>66</v>
      </c>
      <c r="P413" t="s">
        <v>66</v>
      </c>
      <c r="R413" t="s">
        <v>66</v>
      </c>
      <c r="U413" t="s">
        <v>90</v>
      </c>
      <c r="V413" t="s">
        <v>66</v>
      </c>
      <c r="W413" t="s">
        <v>66</v>
      </c>
      <c r="X413" t="s">
        <v>66</v>
      </c>
      <c r="Y413" t="s">
        <v>66</v>
      </c>
      <c r="Z413" s="99" t="str">
        <f t="shared" ca="1" si="33"/>
        <v/>
      </c>
      <c r="AA413" s="101" t="str">
        <f t="shared" ca="1" si="34"/>
        <v/>
      </c>
    </row>
    <row r="414" spans="2:27" ht="27.6" customHeight="1">
      <c r="B414">
        <f t="shared" ca="1" si="30"/>
        <v>0</v>
      </c>
      <c r="C414" t="s">
        <v>36</v>
      </c>
      <c r="G414" s="75">
        <v>1</v>
      </c>
      <c r="J414" s="66" t="str">
        <f t="shared" ca="1" si="31"/>
        <v>14%</v>
      </c>
      <c r="K414" t="s">
        <v>59</v>
      </c>
      <c r="L414" s="66" t="str">
        <f t="shared" ca="1" si="32"/>
        <v>Sin costo</v>
      </c>
      <c r="M414" t="s">
        <v>64</v>
      </c>
      <c r="N414" t="s">
        <v>66</v>
      </c>
      <c r="O414" t="s">
        <v>66</v>
      </c>
      <c r="P414" t="s">
        <v>66</v>
      </c>
      <c r="R414" t="s">
        <v>66</v>
      </c>
      <c r="U414" t="s">
        <v>90</v>
      </c>
      <c r="V414" t="s">
        <v>66</v>
      </c>
      <c r="W414" t="s">
        <v>66</v>
      </c>
      <c r="X414" t="s">
        <v>66</v>
      </c>
      <c r="Y414" t="s">
        <v>66</v>
      </c>
      <c r="Z414" s="99" t="str">
        <f t="shared" ca="1" si="33"/>
        <v/>
      </c>
      <c r="AA414" s="101" t="str">
        <f t="shared" ca="1" si="34"/>
        <v/>
      </c>
    </row>
    <row r="415" spans="2:27" ht="27.6" customHeight="1">
      <c r="B415">
        <f t="shared" ca="1" si="30"/>
        <v>0</v>
      </c>
      <c r="C415" t="s">
        <v>36</v>
      </c>
      <c r="G415" s="75">
        <v>1</v>
      </c>
      <c r="J415" s="66" t="str">
        <f t="shared" ca="1" si="31"/>
        <v>14%</v>
      </c>
      <c r="K415" t="s">
        <v>59</v>
      </c>
      <c r="L415" s="66" t="str">
        <f t="shared" ca="1" si="32"/>
        <v>Sin costo</v>
      </c>
      <c r="M415" t="s">
        <v>64</v>
      </c>
      <c r="N415" t="s">
        <v>66</v>
      </c>
      <c r="O415" t="s">
        <v>66</v>
      </c>
      <c r="P415" t="s">
        <v>66</v>
      </c>
      <c r="R415" t="s">
        <v>66</v>
      </c>
      <c r="U415" t="s">
        <v>90</v>
      </c>
      <c r="V415" t="s">
        <v>66</v>
      </c>
      <c r="W415" t="s">
        <v>66</v>
      </c>
      <c r="X415" t="s">
        <v>66</v>
      </c>
      <c r="Y415" t="s">
        <v>66</v>
      </c>
      <c r="Z415" s="99" t="str">
        <f t="shared" ca="1" si="33"/>
        <v/>
      </c>
      <c r="AA415" s="101" t="str">
        <f t="shared" ca="1" si="34"/>
        <v/>
      </c>
    </row>
    <row r="416" spans="2:27" ht="27.6" customHeight="1">
      <c r="B416">
        <f t="shared" ca="1" si="30"/>
        <v>0</v>
      </c>
      <c r="C416" t="s">
        <v>36</v>
      </c>
      <c r="G416" s="75">
        <v>1</v>
      </c>
      <c r="J416" s="66" t="str">
        <f t="shared" ca="1" si="31"/>
        <v>14%</v>
      </c>
      <c r="K416" t="s">
        <v>59</v>
      </c>
      <c r="L416" s="66" t="str">
        <f t="shared" ca="1" si="32"/>
        <v>Sin costo</v>
      </c>
      <c r="M416" t="s">
        <v>64</v>
      </c>
      <c r="N416" t="s">
        <v>66</v>
      </c>
      <c r="O416" t="s">
        <v>66</v>
      </c>
      <c r="P416" t="s">
        <v>66</v>
      </c>
      <c r="R416" t="s">
        <v>66</v>
      </c>
      <c r="U416" t="s">
        <v>90</v>
      </c>
      <c r="V416" t="s">
        <v>66</v>
      </c>
      <c r="W416" t="s">
        <v>66</v>
      </c>
      <c r="X416" t="s">
        <v>66</v>
      </c>
      <c r="Y416" t="s">
        <v>66</v>
      </c>
      <c r="Z416" s="99" t="str">
        <f t="shared" ca="1" si="33"/>
        <v/>
      </c>
      <c r="AA416" s="101" t="str">
        <f t="shared" ca="1" si="34"/>
        <v/>
      </c>
    </row>
    <row r="417" spans="2:27" ht="27.6" customHeight="1">
      <c r="B417">
        <f t="shared" ca="1" si="30"/>
        <v>0</v>
      </c>
      <c r="C417" t="s">
        <v>36</v>
      </c>
      <c r="G417" s="75">
        <v>1</v>
      </c>
      <c r="J417" s="66" t="str">
        <f t="shared" ca="1" si="31"/>
        <v>14%</v>
      </c>
      <c r="K417" t="s">
        <v>59</v>
      </c>
      <c r="L417" s="66" t="str">
        <f t="shared" ca="1" si="32"/>
        <v>Sin costo</v>
      </c>
      <c r="M417" t="s">
        <v>64</v>
      </c>
      <c r="N417" t="s">
        <v>66</v>
      </c>
      <c r="O417" t="s">
        <v>66</v>
      </c>
      <c r="P417" t="s">
        <v>66</v>
      </c>
      <c r="R417" t="s">
        <v>66</v>
      </c>
      <c r="U417" t="s">
        <v>90</v>
      </c>
      <c r="V417" t="s">
        <v>66</v>
      </c>
      <c r="W417" t="s">
        <v>66</v>
      </c>
      <c r="X417" t="s">
        <v>66</v>
      </c>
      <c r="Y417" t="s">
        <v>66</v>
      </c>
      <c r="Z417" s="99" t="str">
        <f t="shared" ca="1" si="33"/>
        <v/>
      </c>
      <c r="AA417" s="101" t="str">
        <f t="shared" ca="1" si="34"/>
        <v/>
      </c>
    </row>
    <row r="418" spans="2:27" ht="27.6" customHeight="1">
      <c r="B418">
        <f t="shared" ca="1" si="30"/>
        <v>0</v>
      </c>
      <c r="C418" t="s">
        <v>36</v>
      </c>
      <c r="G418" s="75">
        <v>1</v>
      </c>
      <c r="J418" s="66" t="str">
        <f t="shared" ca="1" si="31"/>
        <v>14%</v>
      </c>
      <c r="K418" t="s">
        <v>59</v>
      </c>
      <c r="L418" s="66" t="str">
        <f t="shared" ca="1" si="32"/>
        <v>Sin costo</v>
      </c>
      <c r="M418" t="s">
        <v>64</v>
      </c>
      <c r="N418" t="s">
        <v>66</v>
      </c>
      <c r="O418" t="s">
        <v>66</v>
      </c>
      <c r="P418" t="s">
        <v>66</v>
      </c>
      <c r="R418" t="s">
        <v>66</v>
      </c>
      <c r="U418" t="s">
        <v>90</v>
      </c>
      <c r="V418" t="s">
        <v>66</v>
      </c>
      <c r="W418" t="s">
        <v>66</v>
      </c>
      <c r="X418" t="s">
        <v>66</v>
      </c>
      <c r="Y418" t="s">
        <v>66</v>
      </c>
      <c r="Z418" s="99" t="str">
        <f t="shared" ca="1" si="33"/>
        <v/>
      </c>
      <c r="AA418" s="101" t="str">
        <f t="shared" ca="1" si="34"/>
        <v/>
      </c>
    </row>
    <row r="419" spans="2:27" ht="27.6" customHeight="1">
      <c r="B419">
        <f t="shared" ca="1" si="30"/>
        <v>0</v>
      </c>
      <c r="C419" t="s">
        <v>36</v>
      </c>
      <c r="G419" s="75">
        <v>1</v>
      </c>
      <c r="J419" s="66" t="str">
        <f t="shared" ca="1" si="31"/>
        <v>14%</v>
      </c>
      <c r="K419" t="s">
        <v>59</v>
      </c>
      <c r="L419" s="66" t="str">
        <f t="shared" ca="1" si="32"/>
        <v>Sin costo</v>
      </c>
      <c r="M419" t="s">
        <v>64</v>
      </c>
      <c r="N419" t="s">
        <v>66</v>
      </c>
      <c r="O419" t="s">
        <v>66</v>
      </c>
      <c r="P419" t="s">
        <v>66</v>
      </c>
      <c r="R419" t="s">
        <v>66</v>
      </c>
      <c r="U419" t="s">
        <v>90</v>
      </c>
      <c r="V419" t="s">
        <v>66</v>
      </c>
      <c r="W419" t="s">
        <v>66</v>
      </c>
      <c r="X419" t="s">
        <v>66</v>
      </c>
      <c r="Y419" t="s">
        <v>66</v>
      </c>
      <c r="Z419" s="99" t="str">
        <f t="shared" ca="1" si="33"/>
        <v/>
      </c>
      <c r="AA419" s="101" t="str">
        <f t="shared" ca="1" si="34"/>
        <v/>
      </c>
    </row>
    <row r="420" spans="2:27" ht="27.6" customHeight="1">
      <c r="B420">
        <f t="shared" ca="1" si="30"/>
        <v>0</v>
      </c>
      <c r="C420" t="s">
        <v>36</v>
      </c>
      <c r="G420" s="75">
        <v>1</v>
      </c>
      <c r="J420" s="66" t="str">
        <f t="shared" ca="1" si="31"/>
        <v>14%</v>
      </c>
      <c r="K420" t="s">
        <v>59</v>
      </c>
      <c r="L420" s="66" t="str">
        <f t="shared" ca="1" si="32"/>
        <v>Sin costo</v>
      </c>
      <c r="M420" t="s">
        <v>64</v>
      </c>
      <c r="N420" t="s">
        <v>66</v>
      </c>
      <c r="O420" t="s">
        <v>66</v>
      </c>
      <c r="P420" t="s">
        <v>66</v>
      </c>
      <c r="R420" t="s">
        <v>66</v>
      </c>
      <c r="U420" t="s">
        <v>90</v>
      </c>
      <c r="V420" t="s">
        <v>66</v>
      </c>
      <c r="W420" t="s">
        <v>66</v>
      </c>
      <c r="X420" t="s">
        <v>66</v>
      </c>
      <c r="Y420" t="s">
        <v>66</v>
      </c>
      <c r="Z420" s="99" t="str">
        <f t="shared" ca="1" si="33"/>
        <v/>
      </c>
      <c r="AA420" s="101" t="str">
        <f t="shared" ca="1" si="34"/>
        <v/>
      </c>
    </row>
    <row r="421" spans="2:27" ht="27.6" customHeight="1">
      <c r="B421">
        <f t="shared" ca="1" si="30"/>
        <v>0</v>
      </c>
      <c r="C421" t="s">
        <v>36</v>
      </c>
      <c r="G421" s="75">
        <v>1</v>
      </c>
      <c r="J421" s="66" t="str">
        <f t="shared" ca="1" si="31"/>
        <v>14%</v>
      </c>
      <c r="K421" t="s">
        <v>59</v>
      </c>
      <c r="L421" s="66" t="str">
        <f t="shared" ca="1" si="32"/>
        <v>Sin costo</v>
      </c>
      <c r="M421" t="s">
        <v>64</v>
      </c>
      <c r="N421" t="s">
        <v>66</v>
      </c>
      <c r="O421" t="s">
        <v>66</v>
      </c>
      <c r="P421" t="s">
        <v>66</v>
      </c>
      <c r="R421" t="s">
        <v>66</v>
      </c>
      <c r="U421" t="s">
        <v>90</v>
      </c>
      <c r="V421" t="s">
        <v>66</v>
      </c>
      <c r="W421" t="s">
        <v>66</v>
      </c>
      <c r="X421" t="s">
        <v>66</v>
      </c>
      <c r="Y421" t="s">
        <v>66</v>
      </c>
      <c r="Z421" s="99" t="str">
        <f t="shared" ca="1" si="33"/>
        <v/>
      </c>
      <c r="AA421" s="101" t="str">
        <f t="shared" ca="1" si="34"/>
        <v/>
      </c>
    </row>
    <row r="422" spans="2:27" ht="27.6" customHeight="1">
      <c r="B422">
        <f t="shared" ca="1" si="30"/>
        <v>0</v>
      </c>
      <c r="C422" t="s">
        <v>36</v>
      </c>
      <c r="G422" s="75">
        <v>1</v>
      </c>
      <c r="J422" s="66" t="str">
        <f t="shared" ca="1" si="31"/>
        <v>14%</v>
      </c>
      <c r="K422" t="s">
        <v>59</v>
      </c>
      <c r="L422" s="66" t="str">
        <f t="shared" ca="1" si="32"/>
        <v>Sin costo</v>
      </c>
      <c r="M422" t="s">
        <v>64</v>
      </c>
      <c r="N422" t="s">
        <v>66</v>
      </c>
      <c r="O422" t="s">
        <v>66</v>
      </c>
      <c r="P422" t="s">
        <v>66</v>
      </c>
      <c r="R422" t="s">
        <v>66</v>
      </c>
      <c r="U422" t="s">
        <v>90</v>
      </c>
      <c r="V422" t="s">
        <v>66</v>
      </c>
      <c r="W422" t="s">
        <v>66</v>
      </c>
      <c r="X422" t="s">
        <v>66</v>
      </c>
      <c r="Y422" t="s">
        <v>66</v>
      </c>
      <c r="Z422" s="99" t="str">
        <f t="shared" ca="1" si="33"/>
        <v/>
      </c>
      <c r="AA422" s="101" t="str">
        <f t="shared" ca="1" si="34"/>
        <v/>
      </c>
    </row>
    <row r="423" spans="2:27" ht="27.6" customHeight="1">
      <c r="B423">
        <f t="shared" ca="1" si="30"/>
        <v>0</v>
      </c>
      <c r="C423" t="s">
        <v>36</v>
      </c>
      <c r="G423" s="75">
        <v>1</v>
      </c>
      <c r="J423" s="66" t="str">
        <f t="shared" ca="1" si="31"/>
        <v>14%</v>
      </c>
      <c r="K423" t="s">
        <v>59</v>
      </c>
      <c r="L423" s="66" t="str">
        <f t="shared" ca="1" si="32"/>
        <v>Sin costo</v>
      </c>
      <c r="M423" t="s">
        <v>64</v>
      </c>
      <c r="N423" t="s">
        <v>66</v>
      </c>
      <c r="O423" t="s">
        <v>66</v>
      </c>
      <c r="P423" t="s">
        <v>66</v>
      </c>
      <c r="R423" t="s">
        <v>66</v>
      </c>
      <c r="U423" t="s">
        <v>90</v>
      </c>
      <c r="V423" t="s">
        <v>66</v>
      </c>
      <c r="W423" t="s">
        <v>66</v>
      </c>
      <c r="X423" t="s">
        <v>66</v>
      </c>
      <c r="Y423" t="s">
        <v>66</v>
      </c>
      <c r="Z423" s="99" t="str">
        <f t="shared" ca="1" si="33"/>
        <v/>
      </c>
      <c r="AA423" s="101" t="str">
        <f t="shared" ca="1" si="34"/>
        <v/>
      </c>
    </row>
    <row r="424" spans="2:27" ht="27.6" customHeight="1">
      <c r="B424">
        <f t="shared" ca="1" si="30"/>
        <v>0</v>
      </c>
      <c r="C424" t="s">
        <v>36</v>
      </c>
      <c r="G424" s="75">
        <v>1</v>
      </c>
      <c r="J424" s="66" t="str">
        <f t="shared" ca="1" si="31"/>
        <v>14%</v>
      </c>
      <c r="K424" t="s">
        <v>59</v>
      </c>
      <c r="L424" s="66" t="str">
        <f t="shared" ca="1" si="32"/>
        <v>Sin costo</v>
      </c>
      <c r="M424" t="s">
        <v>64</v>
      </c>
      <c r="N424" t="s">
        <v>66</v>
      </c>
      <c r="O424" t="s">
        <v>66</v>
      </c>
      <c r="P424" t="s">
        <v>66</v>
      </c>
      <c r="R424" t="s">
        <v>66</v>
      </c>
      <c r="U424" t="s">
        <v>90</v>
      </c>
      <c r="V424" t="s">
        <v>66</v>
      </c>
      <c r="W424" t="s">
        <v>66</v>
      </c>
      <c r="X424" t="s">
        <v>66</v>
      </c>
      <c r="Y424" t="s">
        <v>66</v>
      </c>
      <c r="Z424" s="99" t="str">
        <f t="shared" ca="1" si="33"/>
        <v/>
      </c>
      <c r="AA424" s="101" t="str">
        <f t="shared" ca="1" si="34"/>
        <v/>
      </c>
    </row>
    <row r="425" spans="2:27" ht="27.6" customHeight="1">
      <c r="B425">
        <f t="shared" ca="1" si="30"/>
        <v>0</v>
      </c>
      <c r="C425" t="s">
        <v>36</v>
      </c>
      <c r="G425" s="75">
        <v>1</v>
      </c>
      <c r="J425" s="66" t="str">
        <f t="shared" ca="1" si="31"/>
        <v>14%</v>
      </c>
      <c r="K425" t="s">
        <v>59</v>
      </c>
      <c r="L425" s="66" t="str">
        <f t="shared" ca="1" si="32"/>
        <v>Sin costo</v>
      </c>
      <c r="M425" t="s">
        <v>64</v>
      </c>
      <c r="N425" t="s">
        <v>66</v>
      </c>
      <c r="O425" t="s">
        <v>66</v>
      </c>
      <c r="P425" t="s">
        <v>66</v>
      </c>
      <c r="R425" t="s">
        <v>66</v>
      </c>
      <c r="U425" t="s">
        <v>90</v>
      </c>
      <c r="V425" t="s">
        <v>66</v>
      </c>
      <c r="W425" t="s">
        <v>66</v>
      </c>
      <c r="X425" t="s">
        <v>66</v>
      </c>
      <c r="Y425" t="s">
        <v>66</v>
      </c>
      <c r="Z425" s="99" t="str">
        <f t="shared" ca="1" si="33"/>
        <v/>
      </c>
      <c r="AA425" s="101" t="str">
        <f t="shared" ca="1" si="34"/>
        <v/>
      </c>
    </row>
    <row r="426" spans="2:27" ht="27.6" customHeight="1">
      <c r="B426">
        <f t="shared" ca="1" si="30"/>
        <v>0</v>
      </c>
      <c r="C426" t="s">
        <v>36</v>
      </c>
      <c r="G426" s="75">
        <v>1</v>
      </c>
      <c r="J426" s="66" t="str">
        <f t="shared" ca="1" si="31"/>
        <v>14%</v>
      </c>
      <c r="K426" t="s">
        <v>59</v>
      </c>
      <c r="L426" s="66" t="str">
        <f t="shared" ca="1" si="32"/>
        <v>Sin costo</v>
      </c>
      <c r="M426" t="s">
        <v>64</v>
      </c>
      <c r="N426" t="s">
        <v>66</v>
      </c>
      <c r="O426" t="s">
        <v>66</v>
      </c>
      <c r="P426" t="s">
        <v>66</v>
      </c>
      <c r="R426" t="s">
        <v>66</v>
      </c>
      <c r="U426" t="s">
        <v>90</v>
      </c>
      <c r="V426" t="s">
        <v>66</v>
      </c>
      <c r="W426" t="s">
        <v>66</v>
      </c>
      <c r="X426" t="s">
        <v>66</v>
      </c>
      <c r="Y426" t="s">
        <v>66</v>
      </c>
      <c r="Z426" s="99" t="str">
        <f t="shared" ca="1" si="33"/>
        <v/>
      </c>
      <c r="AA426" s="101" t="str">
        <f t="shared" ca="1" si="34"/>
        <v/>
      </c>
    </row>
    <row r="427" spans="2:27" ht="27.6" customHeight="1">
      <c r="B427">
        <f t="shared" ca="1" si="30"/>
        <v>0</v>
      </c>
      <c r="C427" t="s">
        <v>36</v>
      </c>
      <c r="G427" s="75">
        <v>1</v>
      </c>
      <c r="J427" s="66" t="str">
        <f t="shared" ca="1" si="31"/>
        <v>14%</v>
      </c>
      <c r="K427" t="s">
        <v>59</v>
      </c>
      <c r="L427" s="66" t="str">
        <f t="shared" ca="1" si="32"/>
        <v>Sin costo</v>
      </c>
      <c r="M427" t="s">
        <v>64</v>
      </c>
      <c r="N427" t="s">
        <v>66</v>
      </c>
      <c r="O427" t="s">
        <v>66</v>
      </c>
      <c r="P427" t="s">
        <v>66</v>
      </c>
      <c r="R427" t="s">
        <v>66</v>
      </c>
      <c r="U427" t="s">
        <v>90</v>
      </c>
      <c r="V427" t="s">
        <v>66</v>
      </c>
      <c r="W427" t="s">
        <v>66</v>
      </c>
      <c r="X427" t="s">
        <v>66</v>
      </c>
      <c r="Y427" t="s">
        <v>66</v>
      </c>
      <c r="Z427" s="99" t="str">
        <f t="shared" ca="1" si="33"/>
        <v/>
      </c>
      <c r="AA427" s="101" t="str">
        <f t="shared" ca="1" si="34"/>
        <v/>
      </c>
    </row>
    <row r="428" spans="2:27" ht="27.6" customHeight="1">
      <c r="B428">
        <f t="shared" ca="1" si="30"/>
        <v>0</v>
      </c>
      <c r="C428" t="s">
        <v>36</v>
      </c>
      <c r="G428" s="75">
        <v>1</v>
      </c>
      <c r="J428" s="66" t="str">
        <f t="shared" ca="1" si="31"/>
        <v>14%</v>
      </c>
      <c r="K428" t="s">
        <v>59</v>
      </c>
      <c r="L428" s="66" t="str">
        <f t="shared" ca="1" si="32"/>
        <v>Sin costo</v>
      </c>
      <c r="M428" t="s">
        <v>64</v>
      </c>
      <c r="N428" t="s">
        <v>66</v>
      </c>
      <c r="O428" t="s">
        <v>66</v>
      </c>
      <c r="P428" t="s">
        <v>66</v>
      </c>
      <c r="R428" t="s">
        <v>66</v>
      </c>
      <c r="U428" t="s">
        <v>90</v>
      </c>
      <c r="V428" t="s">
        <v>66</v>
      </c>
      <c r="W428" t="s">
        <v>66</v>
      </c>
      <c r="X428" t="s">
        <v>66</v>
      </c>
      <c r="Y428" t="s">
        <v>66</v>
      </c>
      <c r="Z428" s="99" t="str">
        <f t="shared" ca="1" si="33"/>
        <v/>
      </c>
      <c r="AA428" s="101" t="str">
        <f t="shared" ca="1" si="34"/>
        <v/>
      </c>
    </row>
    <row r="429" spans="2:27" ht="27.6" customHeight="1">
      <c r="B429">
        <f t="shared" ca="1" si="30"/>
        <v>0</v>
      </c>
      <c r="C429" t="s">
        <v>36</v>
      </c>
      <c r="G429" s="75">
        <v>1</v>
      </c>
      <c r="J429" s="66" t="str">
        <f t="shared" ca="1" si="31"/>
        <v>14%</v>
      </c>
      <c r="K429" t="s">
        <v>59</v>
      </c>
      <c r="L429" s="66" t="str">
        <f t="shared" ca="1" si="32"/>
        <v>Sin costo</v>
      </c>
      <c r="M429" t="s">
        <v>64</v>
      </c>
      <c r="N429" t="s">
        <v>66</v>
      </c>
      <c r="O429" t="s">
        <v>66</v>
      </c>
      <c r="P429" t="s">
        <v>66</v>
      </c>
      <c r="R429" t="s">
        <v>66</v>
      </c>
      <c r="U429" t="s">
        <v>90</v>
      </c>
      <c r="V429" t="s">
        <v>66</v>
      </c>
      <c r="W429" t="s">
        <v>66</v>
      </c>
      <c r="X429" t="s">
        <v>66</v>
      </c>
      <c r="Y429" t="s">
        <v>66</v>
      </c>
      <c r="Z429" s="99" t="str">
        <f t="shared" ca="1" si="33"/>
        <v/>
      </c>
      <c r="AA429" s="101" t="str">
        <f t="shared" ca="1" si="34"/>
        <v/>
      </c>
    </row>
    <row r="430" spans="2:27" ht="27.6" customHeight="1">
      <c r="B430">
        <f t="shared" ca="1" si="30"/>
        <v>0</v>
      </c>
      <c r="C430" t="s">
        <v>36</v>
      </c>
      <c r="G430" s="75">
        <v>1</v>
      </c>
      <c r="J430" s="66" t="str">
        <f t="shared" ca="1" si="31"/>
        <v>14%</v>
      </c>
      <c r="K430" t="s">
        <v>59</v>
      </c>
      <c r="L430" s="66" t="str">
        <f t="shared" ca="1" si="32"/>
        <v>Sin costo</v>
      </c>
      <c r="M430" t="s">
        <v>64</v>
      </c>
      <c r="N430" t="s">
        <v>66</v>
      </c>
      <c r="O430" t="s">
        <v>66</v>
      </c>
      <c r="P430" t="s">
        <v>66</v>
      </c>
      <c r="R430" t="s">
        <v>66</v>
      </c>
      <c r="U430" t="s">
        <v>90</v>
      </c>
      <c r="V430" t="s">
        <v>66</v>
      </c>
      <c r="W430" t="s">
        <v>66</v>
      </c>
      <c r="X430" t="s">
        <v>66</v>
      </c>
      <c r="Y430" t="s">
        <v>66</v>
      </c>
      <c r="Z430" s="99" t="str">
        <f t="shared" ca="1" si="33"/>
        <v/>
      </c>
      <c r="AA430" s="101" t="str">
        <f t="shared" ca="1" si="34"/>
        <v/>
      </c>
    </row>
    <row r="431" spans="2:27" ht="27.6" customHeight="1">
      <c r="B431">
        <f t="shared" ca="1" si="30"/>
        <v>0</v>
      </c>
      <c r="C431" t="s">
        <v>36</v>
      </c>
      <c r="G431" s="75">
        <v>1</v>
      </c>
      <c r="J431" s="66" t="str">
        <f t="shared" ca="1" si="31"/>
        <v>14%</v>
      </c>
      <c r="K431" t="s">
        <v>59</v>
      </c>
      <c r="L431" s="66" t="str">
        <f t="shared" ca="1" si="32"/>
        <v>Sin costo</v>
      </c>
      <c r="M431" t="s">
        <v>64</v>
      </c>
      <c r="N431" t="s">
        <v>66</v>
      </c>
      <c r="O431" t="s">
        <v>66</v>
      </c>
      <c r="P431" t="s">
        <v>66</v>
      </c>
      <c r="R431" t="s">
        <v>66</v>
      </c>
      <c r="U431" t="s">
        <v>90</v>
      </c>
      <c r="V431" t="s">
        <v>66</v>
      </c>
      <c r="W431" t="s">
        <v>66</v>
      </c>
      <c r="X431" t="s">
        <v>66</v>
      </c>
      <c r="Y431" t="s">
        <v>66</v>
      </c>
      <c r="Z431" s="99" t="str">
        <f t="shared" ca="1" si="33"/>
        <v/>
      </c>
      <c r="AA431" s="101" t="str">
        <f t="shared" ca="1" si="34"/>
        <v/>
      </c>
    </row>
    <row r="432" spans="2:27" ht="27.6" customHeight="1">
      <c r="B432">
        <f t="shared" ca="1" si="30"/>
        <v>0</v>
      </c>
      <c r="C432" t="s">
        <v>36</v>
      </c>
      <c r="G432" s="75">
        <v>1</v>
      </c>
      <c r="J432" s="66" t="str">
        <f t="shared" ca="1" si="31"/>
        <v>14%</v>
      </c>
      <c r="K432" t="s">
        <v>59</v>
      </c>
      <c r="L432" s="66" t="str">
        <f t="shared" ca="1" si="32"/>
        <v>Sin costo</v>
      </c>
      <c r="M432" t="s">
        <v>64</v>
      </c>
      <c r="N432" t="s">
        <v>66</v>
      </c>
      <c r="O432" t="s">
        <v>66</v>
      </c>
      <c r="P432" t="s">
        <v>66</v>
      </c>
      <c r="R432" t="s">
        <v>66</v>
      </c>
      <c r="U432" t="s">
        <v>90</v>
      </c>
      <c r="V432" t="s">
        <v>66</v>
      </c>
      <c r="W432" t="s">
        <v>66</v>
      </c>
      <c r="X432" t="s">
        <v>66</v>
      </c>
      <c r="Y432" t="s">
        <v>66</v>
      </c>
      <c r="Z432" s="99" t="str">
        <f t="shared" ca="1" si="33"/>
        <v/>
      </c>
      <c r="AA432" s="101" t="str">
        <f t="shared" ca="1" si="34"/>
        <v/>
      </c>
    </row>
    <row r="433" spans="2:27" ht="27.6" customHeight="1">
      <c r="B433">
        <f t="shared" ca="1" si="30"/>
        <v>0</v>
      </c>
      <c r="C433" t="s">
        <v>36</v>
      </c>
      <c r="G433" s="75">
        <v>1</v>
      </c>
      <c r="J433" s="66" t="str">
        <f t="shared" ca="1" si="31"/>
        <v>14%</v>
      </c>
      <c r="K433" t="s">
        <v>59</v>
      </c>
      <c r="L433" s="66" t="str">
        <f t="shared" ca="1" si="32"/>
        <v>Sin costo</v>
      </c>
      <c r="M433" t="s">
        <v>64</v>
      </c>
      <c r="N433" t="s">
        <v>66</v>
      </c>
      <c r="O433" t="s">
        <v>66</v>
      </c>
      <c r="P433" t="s">
        <v>66</v>
      </c>
      <c r="R433" t="s">
        <v>66</v>
      </c>
      <c r="U433" t="s">
        <v>90</v>
      </c>
      <c r="V433" t="s">
        <v>66</v>
      </c>
      <c r="W433" t="s">
        <v>66</v>
      </c>
      <c r="X433" t="s">
        <v>66</v>
      </c>
      <c r="Y433" t="s">
        <v>66</v>
      </c>
      <c r="Z433" s="99" t="str">
        <f t="shared" ca="1" si="33"/>
        <v/>
      </c>
      <c r="AA433" s="101" t="str">
        <f t="shared" ca="1" si="34"/>
        <v/>
      </c>
    </row>
    <row r="434" spans="2:27" ht="27.6" customHeight="1">
      <c r="B434">
        <f t="shared" ca="1" si="30"/>
        <v>0</v>
      </c>
      <c r="C434" t="s">
        <v>36</v>
      </c>
      <c r="G434" s="75">
        <v>1</v>
      </c>
      <c r="J434" s="66" t="str">
        <f t="shared" ca="1" si="31"/>
        <v>14%</v>
      </c>
      <c r="K434" t="s">
        <v>59</v>
      </c>
      <c r="L434" s="66" t="str">
        <f t="shared" ca="1" si="32"/>
        <v>Sin costo</v>
      </c>
      <c r="M434" t="s">
        <v>64</v>
      </c>
      <c r="N434" t="s">
        <v>66</v>
      </c>
      <c r="O434" t="s">
        <v>66</v>
      </c>
      <c r="P434" t="s">
        <v>66</v>
      </c>
      <c r="R434" t="s">
        <v>66</v>
      </c>
      <c r="U434" t="s">
        <v>90</v>
      </c>
      <c r="V434" t="s">
        <v>66</v>
      </c>
      <c r="W434" t="s">
        <v>66</v>
      </c>
      <c r="X434" t="s">
        <v>66</v>
      </c>
      <c r="Y434" t="s">
        <v>66</v>
      </c>
      <c r="Z434" s="99" t="str">
        <f t="shared" ca="1" si="33"/>
        <v/>
      </c>
      <c r="AA434" s="101" t="str">
        <f t="shared" ca="1" si="34"/>
        <v/>
      </c>
    </row>
    <row r="435" spans="2:27" ht="27.6" customHeight="1">
      <c r="B435">
        <f t="shared" ca="1" si="30"/>
        <v>0</v>
      </c>
      <c r="C435" t="s">
        <v>36</v>
      </c>
      <c r="G435" s="75">
        <v>1</v>
      </c>
      <c r="J435" s="66" t="str">
        <f t="shared" ca="1" si="31"/>
        <v>14%</v>
      </c>
      <c r="K435" t="s">
        <v>59</v>
      </c>
      <c r="L435" s="66" t="str">
        <f t="shared" ca="1" si="32"/>
        <v>Sin costo</v>
      </c>
      <c r="M435" t="s">
        <v>64</v>
      </c>
      <c r="N435" t="s">
        <v>66</v>
      </c>
      <c r="O435" t="s">
        <v>66</v>
      </c>
      <c r="P435" t="s">
        <v>66</v>
      </c>
      <c r="R435" t="s">
        <v>66</v>
      </c>
      <c r="U435" t="s">
        <v>90</v>
      </c>
      <c r="V435" t="s">
        <v>66</v>
      </c>
      <c r="W435" t="s">
        <v>66</v>
      </c>
      <c r="X435" t="s">
        <v>66</v>
      </c>
      <c r="Y435" t="s">
        <v>66</v>
      </c>
      <c r="Z435" s="99" t="str">
        <f t="shared" ca="1" si="33"/>
        <v/>
      </c>
      <c r="AA435" s="101" t="str">
        <f t="shared" ca="1" si="34"/>
        <v/>
      </c>
    </row>
    <row r="436" spans="2:27" ht="27.6" customHeight="1">
      <c r="B436">
        <f t="shared" ca="1" si="30"/>
        <v>0</v>
      </c>
      <c r="C436" t="s">
        <v>36</v>
      </c>
      <c r="G436" s="75">
        <v>1</v>
      </c>
      <c r="J436" s="66" t="str">
        <f t="shared" ca="1" si="31"/>
        <v>14%</v>
      </c>
      <c r="K436" t="s">
        <v>59</v>
      </c>
      <c r="L436" s="66" t="str">
        <f t="shared" ca="1" si="32"/>
        <v>Sin costo</v>
      </c>
      <c r="M436" t="s">
        <v>64</v>
      </c>
      <c r="N436" t="s">
        <v>66</v>
      </c>
      <c r="O436" t="s">
        <v>66</v>
      </c>
      <c r="P436" t="s">
        <v>66</v>
      </c>
      <c r="R436" t="s">
        <v>66</v>
      </c>
      <c r="U436" t="s">
        <v>90</v>
      </c>
      <c r="V436" t="s">
        <v>66</v>
      </c>
      <c r="W436" t="s">
        <v>66</v>
      </c>
      <c r="X436" t="s">
        <v>66</v>
      </c>
      <c r="Y436" t="s">
        <v>66</v>
      </c>
      <c r="Z436" s="99" t="str">
        <f t="shared" ca="1" si="33"/>
        <v/>
      </c>
      <c r="AA436" s="101" t="str">
        <f t="shared" ca="1" si="34"/>
        <v/>
      </c>
    </row>
    <row r="437" spans="2:27" ht="27.6" customHeight="1">
      <c r="B437">
        <f t="shared" ca="1" si="30"/>
        <v>0</v>
      </c>
      <c r="C437" t="s">
        <v>36</v>
      </c>
      <c r="G437" s="75">
        <v>1</v>
      </c>
      <c r="J437" s="66" t="str">
        <f t="shared" ca="1" si="31"/>
        <v>14%</v>
      </c>
      <c r="K437" t="s">
        <v>59</v>
      </c>
      <c r="L437" s="66" t="str">
        <f t="shared" ca="1" si="32"/>
        <v>Sin costo</v>
      </c>
      <c r="M437" t="s">
        <v>64</v>
      </c>
      <c r="N437" t="s">
        <v>66</v>
      </c>
      <c r="O437" t="s">
        <v>66</v>
      </c>
      <c r="P437" t="s">
        <v>66</v>
      </c>
      <c r="R437" t="s">
        <v>66</v>
      </c>
      <c r="U437" t="s">
        <v>90</v>
      </c>
      <c r="V437" t="s">
        <v>66</v>
      </c>
      <c r="W437" t="s">
        <v>66</v>
      </c>
      <c r="X437" t="s">
        <v>66</v>
      </c>
      <c r="Y437" t="s">
        <v>66</v>
      </c>
      <c r="Z437" s="99" t="str">
        <f t="shared" ca="1" si="33"/>
        <v/>
      </c>
      <c r="AA437" s="101" t="str">
        <f t="shared" ca="1" si="34"/>
        <v/>
      </c>
    </row>
    <row r="438" spans="2:27" ht="27.6" customHeight="1">
      <c r="B438">
        <f t="shared" ca="1" si="30"/>
        <v>0</v>
      </c>
      <c r="C438" t="s">
        <v>36</v>
      </c>
      <c r="G438" s="75">
        <v>1</v>
      </c>
      <c r="J438" s="66" t="str">
        <f t="shared" ca="1" si="31"/>
        <v>14%</v>
      </c>
      <c r="K438" t="s">
        <v>59</v>
      </c>
      <c r="L438" s="66" t="str">
        <f t="shared" ca="1" si="32"/>
        <v>Sin costo</v>
      </c>
      <c r="M438" t="s">
        <v>64</v>
      </c>
      <c r="N438" t="s">
        <v>66</v>
      </c>
      <c r="O438" t="s">
        <v>66</v>
      </c>
      <c r="P438" t="s">
        <v>66</v>
      </c>
      <c r="R438" t="s">
        <v>66</v>
      </c>
      <c r="U438" t="s">
        <v>90</v>
      </c>
      <c r="V438" t="s">
        <v>66</v>
      </c>
      <c r="W438" t="s">
        <v>66</v>
      </c>
      <c r="X438" t="s">
        <v>66</v>
      </c>
      <c r="Y438" t="s">
        <v>66</v>
      </c>
      <c r="Z438" s="99" t="str">
        <f t="shared" ca="1" si="33"/>
        <v/>
      </c>
      <c r="AA438" s="101" t="str">
        <f t="shared" ca="1" si="34"/>
        <v/>
      </c>
    </row>
    <row r="439" spans="2:27" ht="27.6" customHeight="1">
      <c r="B439">
        <f t="shared" ca="1" si="30"/>
        <v>0</v>
      </c>
      <c r="C439" t="s">
        <v>36</v>
      </c>
      <c r="G439" s="75">
        <v>1</v>
      </c>
      <c r="J439" s="66" t="str">
        <f t="shared" ca="1" si="31"/>
        <v>14%</v>
      </c>
      <c r="K439" t="s">
        <v>59</v>
      </c>
      <c r="L439" s="66" t="str">
        <f t="shared" ca="1" si="32"/>
        <v>Sin costo</v>
      </c>
      <c r="M439" t="s">
        <v>64</v>
      </c>
      <c r="N439" t="s">
        <v>66</v>
      </c>
      <c r="O439" t="s">
        <v>66</v>
      </c>
      <c r="P439" t="s">
        <v>66</v>
      </c>
      <c r="R439" t="s">
        <v>66</v>
      </c>
      <c r="U439" t="s">
        <v>90</v>
      </c>
      <c r="V439" t="s">
        <v>66</v>
      </c>
      <c r="W439" t="s">
        <v>66</v>
      </c>
      <c r="X439" t="s">
        <v>66</v>
      </c>
      <c r="Y439" t="s">
        <v>66</v>
      </c>
      <c r="Z439" s="99" t="str">
        <f t="shared" ca="1" si="33"/>
        <v/>
      </c>
      <c r="AA439" s="101" t="str">
        <f t="shared" ca="1" si="34"/>
        <v/>
      </c>
    </row>
    <row r="440" spans="2:27" ht="27.6" customHeight="1">
      <c r="B440">
        <f t="shared" ca="1" si="30"/>
        <v>0</v>
      </c>
      <c r="C440" t="s">
        <v>36</v>
      </c>
      <c r="G440" s="75">
        <v>1</v>
      </c>
      <c r="J440" s="66" t="str">
        <f t="shared" ca="1" si="31"/>
        <v>14%</v>
      </c>
      <c r="K440" t="s">
        <v>59</v>
      </c>
      <c r="L440" s="66" t="str">
        <f t="shared" ca="1" si="32"/>
        <v>Sin costo</v>
      </c>
      <c r="M440" t="s">
        <v>64</v>
      </c>
      <c r="N440" t="s">
        <v>66</v>
      </c>
      <c r="O440" t="s">
        <v>66</v>
      </c>
      <c r="P440" t="s">
        <v>66</v>
      </c>
      <c r="R440" t="s">
        <v>66</v>
      </c>
      <c r="U440" t="s">
        <v>90</v>
      </c>
      <c r="V440" t="s">
        <v>66</v>
      </c>
      <c r="W440" t="s">
        <v>66</v>
      </c>
      <c r="X440" t="s">
        <v>66</v>
      </c>
      <c r="Y440" t="s">
        <v>66</v>
      </c>
      <c r="Z440" s="99" t="str">
        <f t="shared" ca="1" si="33"/>
        <v/>
      </c>
      <c r="AA440" s="101" t="str">
        <f t="shared" ca="1" si="34"/>
        <v/>
      </c>
    </row>
    <row r="441" spans="2:27" ht="27.6" customHeight="1">
      <c r="B441">
        <f t="shared" ca="1" si="30"/>
        <v>0</v>
      </c>
      <c r="C441" t="s">
        <v>36</v>
      </c>
      <c r="G441" s="75">
        <v>1</v>
      </c>
      <c r="J441" s="66" t="str">
        <f t="shared" ca="1" si="31"/>
        <v>14%</v>
      </c>
      <c r="K441" t="s">
        <v>59</v>
      </c>
      <c r="L441" s="66" t="str">
        <f t="shared" ca="1" si="32"/>
        <v>Sin costo</v>
      </c>
      <c r="M441" t="s">
        <v>64</v>
      </c>
      <c r="N441" t="s">
        <v>66</v>
      </c>
      <c r="O441" t="s">
        <v>66</v>
      </c>
      <c r="P441" t="s">
        <v>66</v>
      </c>
      <c r="R441" t="s">
        <v>66</v>
      </c>
      <c r="U441" t="s">
        <v>90</v>
      </c>
      <c r="V441" t="s">
        <v>66</v>
      </c>
      <c r="W441" t="s">
        <v>66</v>
      </c>
      <c r="X441" t="s">
        <v>66</v>
      </c>
      <c r="Y441" t="s">
        <v>66</v>
      </c>
      <c r="Z441" s="99" t="str">
        <f t="shared" ca="1" si="33"/>
        <v/>
      </c>
      <c r="AA441" s="101" t="str">
        <f t="shared" ca="1" si="34"/>
        <v/>
      </c>
    </row>
    <row r="442" spans="2:27" ht="27.6" customHeight="1">
      <c r="B442">
        <f t="shared" ca="1" si="30"/>
        <v>0</v>
      </c>
      <c r="C442" t="s">
        <v>36</v>
      </c>
      <c r="G442" s="75">
        <v>1</v>
      </c>
      <c r="J442" s="66" t="str">
        <f t="shared" ca="1" si="31"/>
        <v>14%</v>
      </c>
      <c r="K442" t="s">
        <v>59</v>
      </c>
      <c r="L442" s="66" t="str">
        <f t="shared" ca="1" si="32"/>
        <v>Sin costo</v>
      </c>
      <c r="M442" t="s">
        <v>64</v>
      </c>
      <c r="N442" t="s">
        <v>66</v>
      </c>
      <c r="O442" t="s">
        <v>66</v>
      </c>
      <c r="P442" t="s">
        <v>66</v>
      </c>
      <c r="R442" t="s">
        <v>66</v>
      </c>
      <c r="U442" t="s">
        <v>90</v>
      </c>
      <c r="V442" t="s">
        <v>66</v>
      </c>
      <c r="W442" t="s">
        <v>66</v>
      </c>
      <c r="X442" t="s">
        <v>66</v>
      </c>
      <c r="Y442" t="s">
        <v>66</v>
      </c>
      <c r="Z442" s="99" t="str">
        <f t="shared" ca="1" si="33"/>
        <v/>
      </c>
      <c r="AA442" s="101" t="str">
        <f t="shared" ca="1" si="34"/>
        <v/>
      </c>
    </row>
    <row r="443" spans="2:27" ht="27.6" customHeight="1">
      <c r="B443">
        <f t="shared" ca="1" si="30"/>
        <v>0</v>
      </c>
      <c r="C443" t="s">
        <v>36</v>
      </c>
      <c r="G443" s="75">
        <v>1</v>
      </c>
      <c r="J443" s="66" t="str">
        <f t="shared" ca="1" si="31"/>
        <v>14%</v>
      </c>
      <c r="K443" t="s">
        <v>59</v>
      </c>
      <c r="L443" s="66" t="str">
        <f t="shared" ca="1" si="32"/>
        <v>Sin costo</v>
      </c>
      <c r="M443" t="s">
        <v>64</v>
      </c>
      <c r="N443" t="s">
        <v>66</v>
      </c>
      <c r="O443" t="s">
        <v>66</v>
      </c>
      <c r="P443" t="s">
        <v>66</v>
      </c>
      <c r="R443" t="s">
        <v>66</v>
      </c>
      <c r="U443" t="s">
        <v>90</v>
      </c>
      <c r="V443" t="s">
        <v>66</v>
      </c>
      <c r="W443" t="s">
        <v>66</v>
      </c>
      <c r="X443" t="s">
        <v>66</v>
      </c>
      <c r="Y443" t="s">
        <v>66</v>
      </c>
      <c r="Z443" s="99" t="str">
        <f t="shared" ca="1" si="33"/>
        <v/>
      </c>
      <c r="AA443" s="101" t="str">
        <f t="shared" ca="1" si="34"/>
        <v/>
      </c>
    </row>
    <row r="444" spans="2:27" ht="27.6" customHeight="1">
      <c r="B444">
        <f t="shared" ca="1" si="30"/>
        <v>0</v>
      </c>
      <c r="C444" t="s">
        <v>36</v>
      </c>
      <c r="G444" s="75">
        <v>1</v>
      </c>
      <c r="J444" s="66" t="str">
        <f t="shared" ca="1" si="31"/>
        <v>14%</v>
      </c>
      <c r="K444" t="s">
        <v>59</v>
      </c>
      <c r="L444" s="66" t="str">
        <f t="shared" ca="1" si="32"/>
        <v>Sin costo</v>
      </c>
      <c r="M444" t="s">
        <v>64</v>
      </c>
      <c r="N444" t="s">
        <v>66</v>
      </c>
      <c r="O444" t="s">
        <v>66</v>
      </c>
      <c r="P444" t="s">
        <v>66</v>
      </c>
      <c r="R444" t="s">
        <v>66</v>
      </c>
      <c r="U444" t="s">
        <v>90</v>
      </c>
      <c r="V444" t="s">
        <v>66</v>
      </c>
      <c r="W444" t="s">
        <v>66</v>
      </c>
      <c r="X444" t="s">
        <v>66</v>
      </c>
      <c r="Y444" t="s">
        <v>66</v>
      </c>
      <c r="Z444" s="99" t="str">
        <f t="shared" ca="1" si="33"/>
        <v/>
      </c>
      <c r="AA444" s="101" t="str">
        <f t="shared" ca="1" si="34"/>
        <v/>
      </c>
    </row>
    <row r="445" spans="2:27" ht="27.6" customHeight="1">
      <c r="B445">
        <f t="shared" ca="1" si="30"/>
        <v>0</v>
      </c>
      <c r="C445" t="s">
        <v>36</v>
      </c>
      <c r="G445" s="75">
        <v>1</v>
      </c>
      <c r="J445" s="66" t="str">
        <f t="shared" ca="1" si="31"/>
        <v>14%</v>
      </c>
      <c r="K445" t="s">
        <v>59</v>
      </c>
      <c r="L445" s="66" t="str">
        <f t="shared" ca="1" si="32"/>
        <v>Sin costo</v>
      </c>
      <c r="M445" t="s">
        <v>64</v>
      </c>
      <c r="N445" t="s">
        <v>66</v>
      </c>
      <c r="O445" t="s">
        <v>66</v>
      </c>
      <c r="P445" t="s">
        <v>66</v>
      </c>
      <c r="R445" t="s">
        <v>66</v>
      </c>
      <c r="U445" t="s">
        <v>90</v>
      </c>
      <c r="V445" t="s">
        <v>66</v>
      </c>
      <c r="W445" t="s">
        <v>66</v>
      </c>
      <c r="X445" t="s">
        <v>66</v>
      </c>
      <c r="Y445" t="s">
        <v>66</v>
      </c>
      <c r="Z445" s="99" t="str">
        <f t="shared" ca="1" si="33"/>
        <v/>
      </c>
      <c r="AA445" s="101" t="str">
        <f t="shared" ca="1" si="34"/>
        <v/>
      </c>
    </row>
    <row r="446" spans="2:27" ht="27.6" customHeight="1">
      <c r="B446">
        <f t="shared" ca="1" si="30"/>
        <v>0</v>
      </c>
      <c r="C446" t="s">
        <v>36</v>
      </c>
      <c r="G446" s="75">
        <v>1</v>
      </c>
      <c r="J446" s="66" t="str">
        <f t="shared" ca="1" si="31"/>
        <v>14%</v>
      </c>
      <c r="K446" t="s">
        <v>59</v>
      </c>
      <c r="L446" s="66" t="str">
        <f t="shared" ca="1" si="32"/>
        <v>Sin costo</v>
      </c>
      <c r="M446" t="s">
        <v>64</v>
      </c>
      <c r="N446" t="s">
        <v>66</v>
      </c>
      <c r="O446" t="s">
        <v>66</v>
      </c>
      <c r="P446" t="s">
        <v>66</v>
      </c>
      <c r="R446" t="s">
        <v>66</v>
      </c>
      <c r="U446" t="s">
        <v>90</v>
      </c>
      <c r="V446" t="s">
        <v>66</v>
      </c>
      <c r="W446" t="s">
        <v>66</v>
      </c>
      <c r="X446" t="s">
        <v>66</v>
      </c>
      <c r="Y446" t="s">
        <v>66</v>
      </c>
      <c r="Z446" s="99" t="str">
        <f t="shared" ca="1" si="33"/>
        <v/>
      </c>
      <c r="AA446" s="101" t="str">
        <f t="shared" ca="1" si="34"/>
        <v/>
      </c>
    </row>
    <row r="447" spans="2:27" ht="27.6" customHeight="1">
      <c r="B447">
        <f t="shared" ca="1" si="30"/>
        <v>0</v>
      </c>
      <c r="C447" t="s">
        <v>36</v>
      </c>
      <c r="G447" s="75">
        <v>1</v>
      </c>
      <c r="J447" s="66" t="str">
        <f t="shared" ca="1" si="31"/>
        <v>14%</v>
      </c>
      <c r="K447" t="s">
        <v>59</v>
      </c>
      <c r="L447" s="66" t="str">
        <f t="shared" ca="1" si="32"/>
        <v>Sin costo</v>
      </c>
      <c r="M447" t="s">
        <v>64</v>
      </c>
      <c r="N447" t="s">
        <v>66</v>
      </c>
      <c r="O447" t="s">
        <v>66</v>
      </c>
      <c r="P447" t="s">
        <v>66</v>
      </c>
      <c r="R447" t="s">
        <v>66</v>
      </c>
      <c r="U447" t="s">
        <v>90</v>
      </c>
      <c r="V447" t="s">
        <v>66</v>
      </c>
      <c r="W447" t="s">
        <v>66</v>
      </c>
      <c r="X447" t="s">
        <v>66</v>
      </c>
      <c r="Y447" t="s">
        <v>66</v>
      </c>
      <c r="Z447" s="99" t="str">
        <f t="shared" ca="1" si="33"/>
        <v/>
      </c>
      <c r="AA447" s="101" t="str">
        <f t="shared" ca="1" si="34"/>
        <v/>
      </c>
    </row>
    <row r="448" spans="2:27" ht="27.6" customHeight="1">
      <c r="B448">
        <f t="shared" ca="1" si="30"/>
        <v>0</v>
      </c>
      <c r="C448" t="s">
        <v>36</v>
      </c>
      <c r="G448" s="75">
        <v>1</v>
      </c>
      <c r="J448" s="66" t="str">
        <f t="shared" ca="1" si="31"/>
        <v>14%</v>
      </c>
      <c r="K448" t="s">
        <v>59</v>
      </c>
      <c r="L448" s="66" t="str">
        <f t="shared" ca="1" si="32"/>
        <v>Sin costo</v>
      </c>
      <c r="M448" t="s">
        <v>64</v>
      </c>
      <c r="N448" t="s">
        <v>66</v>
      </c>
      <c r="O448" t="s">
        <v>66</v>
      </c>
      <c r="P448" t="s">
        <v>66</v>
      </c>
      <c r="R448" t="s">
        <v>66</v>
      </c>
      <c r="U448" t="s">
        <v>90</v>
      </c>
      <c r="V448" t="s">
        <v>66</v>
      </c>
      <c r="W448" t="s">
        <v>66</v>
      </c>
      <c r="X448" t="s">
        <v>66</v>
      </c>
      <c r="Y448" t="s">
        <v>66</v>
      </c>
      <c r="Z448" s="99" t="str">
        <f t="shared" ca="1" si="33"/>
        <v/>
      </c>
      <c r="AA448" s="101" t="str">
        <f t="shared" ca="1" si="34"/>
        <v/>
      </c>
    </row>
    <row r="449" spans="2:27" ht="27.6" customHeight="1">
      <c r="B449">
        <f t="shared" ca="1" si="30"/>
        <v>0</v>
      </c>
      <c r="C449" t="s">
        <v>36</v>
      </c>
      <c r="G449" s="75">
        <v>1</v>
      </c>
      <c r="J449" s="66" t="str">
        <f t="shared" ca="1" si="31"/>
        <v>14%</v>
      </c>
      <c r="K449" t="s">
        <v>59</v>
      </c>
      <c r="L449" s="66" t="str">
        <f t="shared" ca="1" si="32"/>
        <v>Sin costo</v>
      </c>
      <c r="M449" t="s">
        <v>64</v>
      </c>
      <c r="N449" t="s">
        <v>66</v>
      </c>
      <c r="O449" t="s">
        <v>66</v>
      </c>
      <c r="P449" t="s">
        <v>66</v>
      </c>
      <c r="R449" t="s">
        <v>66</v>
      </c>
      <c r="U449" t="s">
        <v>90</v>
      </c>
      <c r="V449" t="s">
        <v>66</v>
      </c>
      <c r="W449" t="s">
        <v>66</v>
      </c>
      <c r="X449" t="s">
        <v>66</v>
      </c>
      <c r="Y449" t="s">
        <v>66</v>
      </c>
      <c r="Z449" s="99" t="str">
        <f t="shared" ca="1" si="33"/>
        <v/>
      </c>
      <c r="AA449" s="101" t="str">
        <f t="shared" ca="1" si="34"/>
        <v/>
      </c>
    </row>
    <row r="450" spans="2:27" ht="27.6" customHeight="1">
      <c r="B450">
        <f t="shared" ca="1" si="30"/>
        <v>0</v>
      </c>
      <c r="C450" t="s">
        <v>36</v>
      </c>
      <c r="G450" s="75">
        <v>1</v>
      </c>
      <c r="J450" s="66" t="str">
        <f t="shared" ca="1" si="31"/>
        <v>14%</v>
      </c>
      <c r="K450" t="s">
        <v>59</v>
      </c>
      <c r="L450" s="66" t="str">
        <f t="shared" ca="1" si="32"/>
        <v>Sin costo</v>
      </c>
      <c r="M450" t="s">
        <v>64</v>
      </c>
      <c r="N450" t="s">
        <v>66</v>
      </c>
      <c r="O450" t="s">
        <v>66</v>
      </c>
      <c r="P450" t="s">
        <v>66</v>
      </c>
      <c r="R450" t="s">
        <v>66</v>
      </c>
      <c r="U450" t="s">
        <v>90</v>
      </c>
      <c r="V450" t="s">
        <v>66</v>
      </c>
      <c r="W450" t="s">
        <v>66</v>
      </c>
      <c r="X450" t="s">
        <v>66</v>
      </c>
      <c r="Y450" t="s">
        <v>66</v>
      </c>
      <c r="Z450" s="99" t="str">
        <f t="shared" ca="1" si="33"/>
        <v/>
      </c>
      <c r="AA450" s="101" t="str">
        <f t="shared" ca="1" si="34"/>
        <v/>
      </c>
    </row>
    <row r="451" spans="2:27" ht="27.6" customHeight="1">
      <c r="B451">
        <f t="shared" ca="1" si="30"/>
        <v>0</v>
      </c>
      <c r="C451" t="s">
        <v>36</v>
      </c>
      <c r="G451" s="75">
        <v>1</v>
      </c>
      <c r="J451" s="66" t="str">
        <f t="shared" ca="1" si="31"/>
        <v>14%</v>
      </c>
      <c r="K451" t="s">
        <v>59</v>
      </c>
      <c r="L451" s="66" t="str">
        <f t="shared" ca="1" si="32"/>
        <v>Sin costo</v>
      </c>
      <c r="M451" t="s">
        <v>64</v>
      </c>
      <c r="N451" t="s">
        <v>66</v>
      </c>
      <c r="O451" t="s">
        <v>66</v>
      </c>
      <c r="P451" t="s">
        <v>66</v>
      </c>
      <c r="R451" t="s">
        <v>66</v>
      </c>
      <c r="U451" t="s">
        <v>90</v>
      </c>
      <c r="V451" t="s">
        <v>66</v>
      </c>
      <c r="W451" t="s">
        <v>66</v>
      </c>
      <c r="X451" t="s">
        <v>66</v>
      </c>
      <c r="Y451" t="s">
        <v>66</v>
      </c>
      <c r="Z451" s="99" t="str">
        <f t="shared" ca="1" si="33"/>
        <v/>
      </c>
      <c r="AA451" s="101" t="str">
        <f t="shared" ca="1" si="34"/>
        <v/>
      </c>
    </row>
    <row r="452" spans="2:27" ht="27.6" customHeight="1">
      <c r="B452">
        <f t="shared" ca="1" si="30"/>
        <v>0</v>
      </c>
      <c r="C452" t="s">
        <v>36</v>
      </c>
      <c r="G452" s="75">
        <v>1</v>
      </c>
      <c r="J452" s="66" t="str">
        <f t="shared" ca="1" si="31"/>
        <v>14%</v>
      </c>
      <c r="K452" t="s">
        <v>59</v>
      </c>
      <c r="L452" s="66" t="str">
        <f t="shared" ca="1" si="32"/>
        <v>Sin costo</v>
      </c>
      <c r="M452" t="s">
        <v>64</v>
      </c>
      <c r="N452" t="s">
        <v>66</v>
      </c>
      <c r="O452" t="s">
        <v>66</v>
      </c>
      <c r="P452" t="s">
        <v>66</v>
      </c>
      <c r="R452" t="s">
        <v>66</v>
      </c>
      <c r="U452" t="s">
        <v>90</v>
      </c>
      <c r="V452" t="s">
        <v>66</v>
      </c>
      <c r="W452" t="s">
        <v>66</v>
      </c>
      <c r="X452" t="s">
        <v>66</v>
      </c>
      <c r="Y452" t="s">
        <v>66</v>
      </c>
      <c r="Z452" s="99" t="str">
        <f t="shared" ca="1" si="33"/>
        <v/>
      </c>
      <c r="AA452" s="101" t="str">
        <f t="shared" ca="1" si="34"/>
        <v/>
      </c>
    </row>
    <row r="453" spans="2:27" ht="27.6" customHeight="1">
      <c r="B453">
        <f t="shared" ca="1" si="30"/>
        <v>0</v>
      </c>
      <c r="C453" t="s">
        <v>36</v>
      </c>
      <c r="G453" s="75">
        <v>1</v>
      </c>
      <c r="J453" s="66" t="str">
        <f t="shared" ca="1" si="31"/>
        <v>14%</v>
      </c>
      <c r="K453" t="s">
        <v>59</v>
      </c>
      <c r="L453" s="66" t="str">
        <f t="shared" ca="1" si="32"/>
        <v>Sin costo</v>
      </c>
      <c r="M453" t="s">
        <v>64</v>
      </c>
      <c r="N453" t="s">
        <v>66</v>
      </c>
      <c r="O453" t="s">
        <v>66</v>
      </c>
      <c r="P453" t="s">
        <v>66</v>
      </c>
      <c r="R453" t="s">
        <v>66</v>
      </c>
      <c r="U453" t="s">
        <v>90</v>
      </c>
      <c r="V453" t="s">
        <v>66</v>
      </c>
      <c r="W453" t="s">
        <v>66</v>
      </c>
      <c r="X453" t="s">
        <v>66</v>
      </c>
      <c r="Y453" t="s">
        <v>66</v>
      </c>
      <c r="Z453" s="99" t="str">
        <f t="shared" ca="1" si="33"/>
        <v/>
      </c>
      <c r="AA453" s="101" t="str">
        <f t="shared" ca="1" si="34"/>
        <v/>
      </c>
    </row>
    <row r="454" spans="2:27" ht="27.6" customHeight="1">
      <c r="B454">
        <f t="shared" ca="1" si="30"/>
        <v>0</v>
      </c>
      <c r="C454" t="s">
        <v>36</v>
      </c>
      <c r="G454" s="75">
        <v>1</v>
      </c>
      <c r="J454" s="66" t="str">
        <f t="shared" ca="1" si="31"/>
        <v>14%</v>
      </c>
      <c r="K454" t="s">
        <v>59</v>
      </c>
      <c r="L454" s="66" t="str">
        <f t="shared" ca="1" si="32"/>
        <v>Sin costo</v>
      </c>
      <c r="M454" t="s">
        <v>64</v>
      </c>
      <c r="N454" t="s">
        <v>66</v>
      </c>
      <c r="O454" t="s">
        <v>66</v>
      </c>
      <c r="P454" t="s">
        <v>66</v>
      </c>
      <c r="R454" t="s">
        <v>66</v>
      </c>
      <c r="U454" t="s">
        <v>90</v>
      </c>
      <c r="V454" t="s">
        <v>66</v>
      </c>
      <c r="W454" t="s">
        <v>66</v>
      </c>
      <c r="X454" t="s">
        <v>66</v>
      </c>
      <c r="Y454" t="s">
        <v>66</v>
      </c>
      <c r="Z454" s="99" t="str">
        <f t="shared" ca="1" si="33"/>
        <v/>
      </c>
      <c r="AA454" s="101" t="str">
        <f t="shared" ca="1" si="34"/>
        <v/>
      </c>
    </row>
    <row r="455" spans="2:27" ht="27.6" customHeight="1">
      <c r="B455">
        <f t="shared" ref="B455:B518" ca="1" si="35">LEN(INDIRECT(ADDRESS(ROW() + (0),COLUMN() + (-1))))</f>
        <v>0</v>
      </c>
      <c r="C455" t="s">
        <v>36</v>
      </c>
      <c r="G455" s="75">
        <v>1</v>
      </c>
      <c r="J455" s="66" t="str">
        <f t="shared" ref="J455:J518" ca="1" si="36">IF(INDIRECT(ADDRESS(ROW() + (0),COLUMN() + (1)))="Agregar cuotas", IF(("14%")="", "-", "14%"), IF(INDIRECT(ADDRESS(ROW() + (0),COLUMN() + (1)))="No agregar cuotas", IF(("14%")="", "-", "14%"), "-"))</f>
        <v>14%</v>
      </c>
      <c r="K455" t="s">
        <v>59</v>
      </c>
      <c r="L455" s="66" t="str">
        <f t="shared" ref="L455:L518" ca="1" si="37">IF(INDIRECT(ADDRESS(ROW() + (0),COLUMN() + (-1)))="Agregar cuotas", IF(("13.9%")="", "Sin costo", "13.9%"), IF(INDIRECT(ADDRESS(ROW() + (0),COLUMN() + (-1)))="No agregar cuotas", IF(("")="", "Sin costo", ""), "-"))</f>
        <v>Sin costo</v>
      </c>
      <c r="M455" t="s">
        <v>64</v>
      </c>
      <c r="N455" t="s">
        <v>66</v>
      </c>
      <c r="O455" t="s">
        <v>66</v>
      </c>
      <c r="P455" t="s">
        <v>66</v>
      </c>
      <c r="R455" t="s">
        <v>66</v>
      </c>
      <c r="U455" t="s">
        <v>90</v>
      </c>
      <c r="V455" t="s">
        <v>66</v>
      </c>
      <c r="W455" t="s">
        <v>66</v>
      </c>
      <c r="X455" t="s">
        <v>66</v>
      </c>
      <c r="Y455" t="s">
        <v>66</v>
      </c>
      <c r="Z455" s="99" t="str">
        <f t="shared" ref="Z455:Z518" ca="1" si="3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455" s="101" t="str">
        <f t="shared" ref="AA455:AA518" ca="1" si="39">IF(TRIM(INDIRECT("A"&amp;ROW())) &lt;&gt; "",FALSE,"")</f>
        <v/>
      </c>
    </row>
    <row r="456" spans="2:27" ht="27.6" customHeight="1">
      <c r="B456">
        <f t="shared" ca="1" si="35"/>
        <v>0</v>
      </c>
      <c r="C456" t="s">
        <v>36</v>
      </c>
      <c r="G456" s="75">
        <v>1</v>
      </c>
      <c r="J456" s="66" t="str">
        <f t="shared" ca="1" si="36"/>
        <v>14%</v>
      </c>
      <c r="K456" t="s">
        <v>59</v>
      </c>
      <c r="L456" s="66" t="str">
        <f t="shared" ca="1" si="37"/>
        <v>Sin costo</v>
      </c>
      <c r="M456" t="s">
        <v>64</v>
      </c>
      <c r="N456" t="s">
        <v>66</v>
      </c>
      <c r="O456" t="s">
        <v>66</v>
      </c>
      <c r="P456" t="s">
        <v>66</v>
      </c>
      <c r="R456" t="s">
        <v>66</v>
      </c>
      <c r="U456" t="s">
        <v>90</v>
      </c>
      <c r="V456" t="s">
        <v>66</v>
      </c>
      <c r="W456" t="s">
        <v>66</v>
      </c>
      <c r="X456" t="s">
        <v>66</v>
      </c>
      <c r="Y456" t="s">
        <v>66</v>
      </c>
      <c r="Z456" s="99" t="str">
        <f t="shared" ca="1" si="38"/>
        <v/>
      </c>
      <c r="AA456" s="101" t="str">
        <f t="shared" ca="1" si="39"/>
        <v/>
      </c>
    </row>
    <row r="457" spans="2:27" ht="27.6" customHeight="1">
      <c r="B457">
        <f t="shared" ca="1" si="35"/>
        <v>0</v>
      </c>
      <c r="C457" t="s">
        <v>36</v>
      </c>
      <c r="G457" s="75">
        <v>1</v>
      </c>
      <c r="J457" s="66" t="str">
        <f t="shared" ca="1" si="36"/>
        <v>14%</v>
      </c>
      <c r="K457" t="s">
        <v>59</v>
      </c>
      <c r="L457" s="66" t="str">
        <f t="shared" ca="1" si="37"/>
        <v>Sin costo</v>
      </c>
      <c r="M457" t="s">
        <v>64</v>
      </c>
      <c r="N457" t="s">
        <v>66</v>
      </c>
      <c r="O457" t="s">
        <v>66</v>
      </c>
      <c r="P457" t="s">
        <v>66</v>
      </c>
      <c r="R457" t="s">
        <v>66</v>
      </c>
      <c r="U457" t="s">
        <v>90</v>
      </c>
      <c r="V457" t="s">
        <v>66</v>
      </c>
      <c r="W457" t="s">
        <v>66</v>
      </c>
      <c r="X457" t="s">
        <v>66</v>
      </c>
      <c r="Y457" t="s">
        <v>66</v>
      </c>
      <c r="Z457" s="99" t="str">
        <f t="shared" ca="1" si="38"/>
        <v/>
      </c>
      <c r="AA457" s="101" t="str">
        <f t="shared" ca="1" si="39"/>
        <v/>
      </c>
    </row>
    <row r="458" spans="2:27" ht="27.6" customHeight="1">
      <c r="B458">
        <f t="shared" ca="1" si="35"/>
        <v>0</v>
      </c>
      <c r="C458" t="s">
        <v>36</v>
      </c>
      <c r="G458" s="75">
        <v>1</v>
      </c>
      <c r="J458" s="66" t="str">
        <f t="shared" ca="1" si="36"/>
        <v>14%</v>
      </c>
      <c r="K458" t="s">
        <v>59</v>
      </c>
      <c r="L458" s="66" t="str">
        <f t="shared" ca="1" si="37"/>
        <v>Sin costo</v>
      </c>
      <c r="M458" t="s">
        <v>64</v>
      </c>
      <c r="N458" t="s">
        <v>66</v>
      </c>
      <c r="O458" t="s">
        <v>66</v>
      </c>
      <c r="P458" t="s">
        <v>66</v>
      </c>
      <c r="R458" t="s">
        <v>66</v>
      </c>
      <c r="U458" t="s">
        <v>90</v>
      </c>
      <c r="V458" t="s">
        <v>66</v>
      </c>
      <c r="W458" t="s">
        <v>66</v>
      </c>
      <c r="X458" t="s">
        <v>66</v>
      </c>
      <c r="Y458" t="s">
        <v>66</v>
      </c>
      <c r="Z458" s="99" t="str">
        <f t="shared" ca="1" si="38"/>
        <v/>
      </c>
      <c r="AA458" s="101" t="str">
        <f t="shared" ca="1" si="39"/>
        <v/>
      </c>
    </row>
    <row r="459" spans="2:27" ht="27.6" customHeight="1">
      <c r="B459">
        <f t="shared" ca="1" si="35"/>
        <v>0</v>
      </c>
      <c r="C459" t="s">
        <v>36</v>
      </c>
      <c r="G459" s="75">
        <v>1</v>
      </c>
      <c r="J459" s="66" t="str">
        <f t="shared" ca="1" si="36"/>
        <v>14%</v>
      </c>
      <c r="K459" t="s">
        <v>59</v>
      </c>
      <c r="L459" s="66" t="str">
        <f t="shared" ca="1" si="37"/>
        <v>Sin costo</v>
      </c>
      <c r="M459" t="s">
        <v>64</v>
      </c>
      <c r="N459" t="s">
        <v>66</v>
      </c>
      <c r="O459" t="s">
        <v>66</v>
      </c>
      <c r="P459" t="s">
        <v>66</v>
      </c>
      <c r="R459" t="s">
        <v>66</v>
      </c>
      <c r="U459" t="s">
        <v>90</v>
      </c>
      <c r="V459" t="s">
        <v>66</v>
      </c>
      <c r="W459" t="s">
        <v>66</v>
      </c>
      <c r="X459" t="s">
        <v>66</v>
      </c>
      <c r="Y459" t="s">
        <v>66</v>
      </c>
      <c r="Z459" s="99" t="str">
        <f t="shared" ca="1" si="38"/>
        <v/>
      </c>
      <c r="AA459" s="101" t="str">
        <f t="shared" ca="1" si="39"/>
        <v/>
      </c>
    </row>
    <row r="460" spans="2:27" ht="27.6" customHeight="1">
      <c r="B460">
        <f t="shared" ca="1" si="35"/>
        <v>0</v>
      </c>
      <c r="C460" t="s">
        <v>36</v>
      </c>
      <c r="G460" s="75">
        <v>1</v>
      </c>
      <c r="J460" s="66" t="str">
        <f t="shared" ca="1" si="36"/>
        <v>14%</v>
      </c>
      <c r="K460" t="s">
        <v>59</v>
      </c>
      <c r="L460" s="66" t="str">
        <f t="shared" ca="1" si="37"/>
        <v>Sin costo</v>
      </c>
      <c r="M460" t="s">
        <v>64</v>
      </c>
      <c r="N460" t="s">
        <v>66</v>
      </c>
      <c r="O460" t="s">
        <v>66</v>
      </c>
      <c r="P460" t="s">
        <v>66</v>
      </c>
      <c r="R460" t="s">
        <v>66</v>
      </c>
      <c r="U460" t="s">
        <v>90</v>
      </c>
      <c r="V460" t="s">
        <v>66</v>
      </c>
      <c r="W460" t="s">
        <v>66</v>
      </c>
      <c r="X460" t="s">
        <v>66</v>
      </c>
      <c r="Y460" t="s">
        <v>66</v>
      </c>
      <c r="Z460" s="99" t="str">
        <f t="shared" ca="1" si="38"/>
        <v/>
      </c>
      <c r="AA460" s="101" t="str">
        <f t="shared" ca="1" si="39"/>
        <v/>
      </c>
    </row>
    <row r="461" spans="2:27" ht="27.6" customHeight="1">
      <c r="B461">
        <f t="shared" ca="1" si="35"/>
        <v>0</v>
      </c>
      <c r="C461" t="s">
        <v>36</v>
      </c>
      <c r="G461" s="75">
        <v>1</v>
      </c>
      <c r="J461" s="66" t="str">
        <f t="shared" ca="1" si="36"/>
        <v>14%</v>
      </c>
      <c r="K461" t="s">
        <v>59</v>
      </c>
      <c r="L461" s="66" t="str">
        <f t="shared" ca="1" si="37"/>
        <v>Sin costo</v>
      </c>
      <c r="M461" t="s">
        <v>64</v>
      </c>
      <c r="N461" t="s">
        <v>66</v>
      </c>
      <c r="O461" t="s">
        <v>66</v>
      </c>
      <c r="P461" t="s">
        <v>66</v>
      </c>
      <c r="R461" t="s">
        <v>66</v>
      </c>
      <c r="U461" t="s">
        <v>90</v>
      </c>
      <c r="V461" t="s">
        <v>66</v>
      </c>
      <c r="W461" t="s">
        <v>66</v>
      </c>
      <c r="X461" t="s">
        <v>66</v>
      </c>
      <c r="Y461" t="s">
        <v>66</v>
      </c>
      <c r="Z461" s="99" t="str">
        <f t="shared" ca="1" si="38"/>
        <v/>
      </c>
      <c r="AA461" s="101" t="str">
        <f t="shared" ca="1" si="39"/>
        <v/>
      </c>
    </row>
    <row r="462" spans="2:27" ht="27.6" customHeight="1">
      <c r="B462">
        <f t="shared" ca="1" si="35"/>
        <v>0</v>
      </c>
      <c r="C462" t="s">
        <v>36</v>
      </c>
      <c r="G462" s="75">
        <v>1</v>
      </c>
      <c r="J462" s="66" t="str">
        <f t="shared" ca="1" si="36"/>
        <v>14%</v>
      </c>
      <c r="K462" t="s">
        <v>59</v>
      </c>
      <c r="L462" s="66" t="str">
        <f t="shared" ca="1" si="37"/>
        <v>Sin costo</v>
      </c>
      <c r="M462" t="s">
        <v>64</v>
      </c>
      <c r="N462" t="s">
        <v>66</v>
      </c>
      <c r="O462" t="s">
        <v>66</v>
      </c>
      <c r="P462" t="s">
        <v>66</v>
      </c>
      <c r="R462" t="s">
        <v>66</v>
      </c>
      <c r="U462" t="s">
        <v>90</v>
      </c>
      <c r="V462" t="s">
        <v>66</v>
      </c>
      <c r="W462" t="s">
        <v>66</v>
      </c>
      <c r="X462" t="s">
        <v>66</v>
      </c>
      <c r="Y462" t="s">
        <v>66</v>
      </c>
      <c r="Z462" s="99" t="str">
        <f t="shared" ca="1" si="38"/>
        <v/>
      </c>
      <c r="AA462" s="101" t="str">
        <f t="shared" ca="1" si="39"/>
        <v/>
      </c>
    </row>
    <row r="463" spans="2:27" ht="27.6" customHeight="1">
      <c r="B463">
        <f t="shared" ca="1" si="35"/>
        <v>0</v>
      </c>
      <c r="C463" t="s">
        <v>36</v>
      </c>
      <c r="G463" s="75">
        <v>1</v>
      </c>
      <c r="J463" s="66" t="str">
        <f t="shared" ca="1" si="36"/>
        <v>14%</v>
      </c>
      <c r="K463" t="s">
        <v>59</v>
      </c>
      <c r="L463" s="66" t="str">
        <f t="shared" ca="1" si="37"/>
        <v>Sin costo</v>
      </c>
      <c r="M463" t="s">
        <v>64</v>
      </c>
      <c r="N463" t="s">
        <v>66</v>
      </c>
      <c r="O463" t="s">
        <v>66</v>
      </c>
      <c r="P463" t="s">
        <v>66</v>
      </c>
      <c r="R463" t="s">
        <v>66</v>
      </c>
      <c r="U463" t="s">
        <v>90</v>
      </c>
      <c r="V463" t="s">
        <v>66</v>
      </c>
      <c r="W463" t="s">
        <v>66</v>
      </c>
      <c r="X463" t="s">
        <v>66</v>
      </c>
      <c r="Y463" t="s">
        <v>66</v>
      </c>
      <c r="Z463" s="99" t="str">
        <f t="shared" ca="1" si="38"/>
        <v/>
      </c>
      <c r="AA463" s="101" t="str">
        <f t="shared" ca="1" si="39"/>
        <v/>
      </c>
    </row>
    <row r="464" spans="2:27" ht="27.6" customHeight="1">
      <c r="B464">
        <f t="shared" ca="1" si="35"/>
        <v>0</v>
      </c>
      <c r="C464" t="s">
        <v>36</v>
      </c>
      <c r="G464" s="75">
        <v>1</v>
      </c>
      <c r="J464" s="66" t="str">
        <f t="shared" ca="1" si="36"/>
        <v>14%</v>
      </c>
      <c r="K464" t="s">
        <v>59</v>
      </c>
      <c r="L464" s="66" t="str">
        <f t="shared" ca="1" si="37"/>
        <v>Sin costo</v>
      </c>
      <c r="M464" t="s">
        <v>64</v>
      </c>
      <c r="N464" t="s">
        <v>66</v>
      </c>
      <c r="O464" t="s">
        <v>66</v>
      </c>
      <c r="P464" t="s">
        <v>66</v>
      </c>
      <c r="R464" t="s">
        <v>66</v>
      </c>
      <c r="U464" t="s">
        <v>90</v>
      </c>
      <c r="V464" t="s">
        <v>66</v>
      </c>
      <c r="W464" t="s">
        <v>66</v>
      </c>
      <c r="X464" t="s">
        <v>66</v>
      </c>
      <c r="Y464" t="s">
        <v>66</v>
      </c>
      <c r="Z464" s="99" t="str">
        <f t="shared" ca="1" si="38"/>
        <v/>
      </c>
      <c r="AA464" s="101" t="str">
        <f t="shared" ca="1" si="39"/>
        <v/>
      </c>
    </row>
    <row r="465" spans="2:27" ht="27.6" customHeight="1">
      <c r="B465">
        <f t="shared" ca="1" si="35"/>
        <v>0</v>
      </c>
      <c r="C465" t="s">
        <v>36</v>
      </c>
      <c r="G465" s="75">
        <v>1</v>
      </c>
      <c r="J465" s="66" t="str">
        <f t="shared" ca="1" si="36"/>
        <v>14%</v>
      </c>
      <c r="K465" t="s">
        <v>59</v>
      </c>
      <c r="L465" s="66" t="str">
        <f t="shared" ca="1" si="37"/>
        <v>Sin costo</v>
      </c>
      <c r="M465" t="s">
        <v>64</v>
      </c>
      <c r="N465" t="s">
        <v>66</v>
      </c>
      <c r="O465" t="s">
        <v>66</v>
      </c>
      <c r="P465" t="s">
        <v>66</v>
      </c>
      <c r="R465" t="s">
        <v>66</v>
      </c>
      <c r="U465" t="s">
        <v>90</v>
      </c>
      <c r="V465" t="s">
        <v>66</v>
      </c>
      <c r="W465" t="s">
        <v>66</v>
      </c>
      <c r="X465" t="s">
        <v>66</v>
      </c>
      <c r="Y465" t="s">
        <v>66</v>
      </c>
      <c r="Z465" s="99" t="str">
        <f t="shared" ca="1" si="38"/>
        <v/>
      </c>
      <c r="AA465" s="101" t="str">
        <f t="shared" ca="1" si="39"/>
        <v/>
      </c>
    </row>
    <row r="466" spans="2:27" ht="27.6" customHeight="1">
      <c r="B466">
        <f t="shared" ca="1" si="35"/>
        <v>0</v>
      </c>
      <c r="C466" t="s">
        <v>36</v>
      </c>
      <c r="G466" s="75">
        <v>1</v>
      </c>
      <c r="J466" s="66" t="str">
        <f t="shared" ca="1" si="36"/>
        <v>14%</v>
      </c>
      <c r="K466" t="s">
        <v>59</v>
      </c>
      <c r="L466" s="66" t="str">
        <f t="shared" ca="1" si="37"/>
        <v>Sin costo</v>
      </c>
      <c r="M466" t="s">
        <v>64</v>
      </c>
      <c r="N466" t="s">
        <v>66</v>
      </c>
      <c r="O466" t="s">
        <v>66</v>
      </c>
      <c r="P466" t="s">
        <v>66</v>
      </c>
      <c r="R466" t="s">
        <v>66</v>
      </c>
      <c r="U466" t="s">
        <v>90</v>
      </c>
      <c r="V466" t="s">
        <v>66</v>
      </c>
      <c r="W466" t="s">
        <v>66</v>
      </c>
      <c r="X466" t="s">
        <v>66</v>
      </c>
      <c r="Y466" t="s">
        <v>66</v>
      </c>
      <c r="Z466" s="99" t="str">
        <f t="shared" ca="1" si="38"/>
        <v/>
      </c>
      <c r="AA466" s="101" t="str">
        <f t="shared" ca="1" si="39"/>
        <v/>
      </c>
    </row>
    <row r="467" spans="2:27" ht="27.6" customHeight="1">
      <c r="B467">
        <f t="shared" ca="1" si="35"/>
        <v>0</v>
      </c>
      <c r="C467" t="s">
        <v>36</v>
      </c>
      <c r="G467" s="75">
        <v>1</v>
      </c>
      <c r="J467" s="66" t="str">
        <f t="shared" ca="1" si="36"/>
        <v>14%</v>
      </c>
      <c r="K467" t="s">
        <v>59</v>
      </c>
      <c r="L467" s="66" t="str">
        <f t="shared" ca="1" si="37"/>
        <v>Sin costo</v>
      </c>
      <c r="M467" t="s">
        <v>64</v>
      </c>
      <c r="N467" t="s">
        <v>66</v>
      </c>
      <c r="O467" t="s">
        <v>66</v>
      </c>
      <c r="P467" t="s">
        <v>66</v>
      </c>
      <c r="R467" t="s">
        <v>66</v>
      </c>
      <c r="U467" t="s">
        <v>90</v>
      </c>
      <c r="V467" t="s">
        <v>66</v>
      </c>
      <c r="W467" t="s">
        <v>66</v>
      </c>
      <c r="X467" t="s">
        <v>66</v>
      </c>
      <c r="Y467" t="s">
        <v>66</v>
      </c>
      <c r="Z467" s="99" t="str">
        <f t="shared" ca="1" si="38"/>
        <v/>
      </c>
      <c r="AA467" s="101" t="str">
        <f t="shared" ca="1" si="39"/>
        <v/>
      </c>
    </row>
    <row r="468" spans="2:27" ht="27.6" customHeight="1">
      <c r="B468">
        <f t="shared" ca="1" si="35"/>
        <v>0</v>
      </c>
      <c r="C468" t="s">
        <v>36</v>
      </c>
      <c r="G468" s="75">
        <v>1</v>
      </c>
      <c r="J468" s="66" t="str">
        <f t="shared" ca="1" si="36"/>
        <v>14%</v>
      </c>
      <c r="K468" t="s">
        <v>59</v>
      </c>
      <c r="L468" s="66" t="str">
        <f t="shared" ca="1" si="37"/>
        <v>Sin costo</v>
      </c>
      <c r="M468" t="s">
        <v>64</v>
      </c>
      <c r="N468" t="s">
        <v>66</v>
      </c>
      <c r="O468" t="s">
        <v>66</v>
      </c>
      <c r="P468" t="s">
        <v>66</v>
      </c>
      <c r="R468" t="s">
        <v>66</v>
      </c>
      <c r="U468" t="s">
        <v>90</v>
      </c>
      <c r="V468" t="s">
        <v>66</v>
      </c>
      <c r="W468" t="s">
        <v>66</v>
      </c>
      <c r="X468" t="s">
        <v>66</v>
      </c>
      <c r="Y468" t="s">
        <v>66</v>
      </c>
      <c r="Z468" s="99" t="str">
        <f t="shared" ca="1" si="38"/>
        <v/>
      </c>
      <c r="AA468" s="101" t="str">
        <f t="shared" ca="1" si="39"/>
        <v/>
      </c>
    </row>
    <row r="469" spans="2:27" ht="27.6" customHeight="1">
      <c r="B469">
        <f t="shared" ca="1" si="35"/>
        <v>0</v>
      </c>
      <c r="C469" t="s">
        <v>36</v>
      </c>
      <c r="G469" s="75">
        <v>1</v>
      </c>
      <c r="J469" s="66" t="str">
        <f t="shared" ca="1" si="36"/>
        <v>14%</v>
      </c>
      <c r="K469" t="s">
        <v>59</v>
      </c>
      <c r="L469" s="66" t="str">
        <f t="shared" ca="1" si="37"/>
        <v>Sin costo</v>
      </c>
      <c r="M469" t="s">
        <v>64</v>
      </c>
      <c r="N469" t="s">
        <v>66</v>
      </c>
      <c r="O469" t="s">
        <v>66</v>
      </c>
      <c r="P469" t="s">
        <v>66</v>
      </c>
      <c r="R469" t="s">
        <v>66</v>
      </c>
      <c r="U469" t="s">
        <v>90</v>
      </c>
      <c r="V469" t="s">
        <v>66</v>
      </c>
      <c r="W469" t="s">
        <v>66</v>
      </c>
      <c r="X469" t="s">
        <v>66</v>
      </c>
      <c r="Y469" t="s">
        <v>66</v>
      </c>
      <c r="Z469" s="99" t="str">
        <f t="shared" ca="1" si="38"/>
        <v/>
      </c>
      <c r="AA469" s="101" t="str">
        <f t="shared" ca="1" si="39"/>
        <v/>
      </c>
    </row>
    <row r="470" spans="2:27" ht="27.6" customHeight="1">
      <c r="B470">
        <f t="shared" ca="1" si="35"/>
        <v>0</v>
      </c>
      <c r="C470" t="s">
        <v>36</v>
      </c>
      <c r="G470" s="75">
        <v>1</v>
      </c>
      <c r="J470" s="66" t="str">
        <f t="shared" ca="1" si="36"/>
        <v>14%</v>
      </c>
      <c r="K470" t="s">
        <v>59</v>
      </c>
      <c r="L470" s="66" t="str">
        <f t="shared" ca="1" si="37"/>
        <v>Sin costo</v>
      </c>
      <c r="M470" t="s">
        <v>64</v>
      </c>
      <c r="N470" t="s">
        <v>66</v>
      </c>
      <c r="O470" t="s">
        <v>66</v>
      </c>
      <c r="P470" t="s">
        <v>66</v>
      </c>
      <c r="R470" t="s">
        <v>66</v>
      </c>
      <c r="U470" t="s">
        <v>90</v>
      </c>
      <c r="V470" t="s">
        <v>66</v>
      </c>
      <c r="W470" t="s">
        <v>66</v>
      </c>
      <c r="X470" t="s">
        <v>66</v>
      </c>
      <c r="Y470" t="s">
        <v>66</v>
      </c>
      <c r="Z470" s="99" t="str">
        <f t="shared" ca="1" si="38"/>
        <v/>
      </c>
      <c r="AA470" s="101" t="str">
        <f t="shared" ca="1" si="39"/>
        <v/>
      </c>
    </row>
    <row r="471" spans="2:27" ht="27.6" customHeight="1">
      <c r="B471">
        <f t="shared" ca="1" si="35"/>
        <v>0</v>
      </c>
      <c r="C471" t="s">
        <v>36</v>
      </c>
      <c r="G471" s="75">
        <v>1</v>
      </c>
      <c r="J471" s="66" t="str">
        <f t="shared" ca="1" si="36"/>
        <v>14%</v>
      </c>
      <c r="K471" t="s">
        <v>59</v>
      </c>
      <c r="L471" s="66" t="str">
        <f t="shared" ca="1" si="37"/>
        <v>Sin costo</v>
      </c>
      <c r="M471" t="s">
        <v>64</v>
      </c>
      <c r="N471" t="s">
        <v>66</v>
      </c>
      <c r="O471" t="s">
        <v>66</v>
      </c>
      <c r="P471" t="s">
        <v>66</v>
      </c>
      <c r="R471" t="s">
        <v>66</v>
      </c>
      <c r="U471" t="s">
        <v>90</v>
      </c>
      <c r="V471" t="s">
        <v>66</v>
      </c>
      <c r="W471" t="s">
        <v>66</v>
      </c>
      <c r="X471" t="s">
        <v>66</v>
      </c>
      <c r="Y471" t="s">
        <v>66</v>
      </c>
      <c r="Z471" s="99" t="str">
        <f t="shared" ca="1" si="38"/>
        <v/>
      </c>
      <c r="AA471" s="101" t="str">
        <f t="shared" ca="1" si="39"/>
        <v/>
      </c>
    </row>
    <row r="472" spans="2:27" ht="27.6" customHeight="1">
      <c r="B472">
        <f t="shared" ca="1" si="35"/>
        <v>0</v>
      </c>
      <c r="C472" t="s">
        <v>36</v>
      </c>
      <c r="G472" s="75">
        <v>1</v>
      </c>
      <c r="J472" s="66" t="str">
        <f t="shared" ca="1" si="36"/>
        <v>14%</v>
      </c>
      <c r="K472" t="s">
        <v>59</v>
      </c>
      <c r="L472" s="66" t="str">
        <f t="shared" ca="1" si="37"/>
        <v>Sin costo</v>
      </c>
      <c r="M472" t="s">
        <v>64</v>
      </c>
      <c r="N472" t="s">
        <v>66</v>
      </c>
      <c r="O472" t="s">
        <v>66</v>
      </c>
      <c r="P472" t="s">
        <v>66</v>
      </c>
      <c r="R472" t="s">
        <v>66</v>
      </c>
      <c r="U472" t="s">
        <v>90</v>
      </c>
      <c r="V472" t="s">
        <v>66</v>
      </c>
      <c r="W472" t="s">
        <v>66</v>
      </c>
      <c r="X472" t="s">
        <v>66</v>
      </c>
      <c r="Y472" t="s">
        <v>66</v>
      </c>
      <c r="Z472" s="99" t="str">
        <f t="shared" ca="1" si="38"/>
        <v/>
      </c>
      <c r="AA472" s="101" t="str">
        <f t="shared" ca="1" si="39"/>
        <v/>
      </c>
    </row>
    <row r="473" spans="2:27" ht="27.6" customHeight="1">
      <c r="B473">
        <f t="shared" ca="1" si="35"/>
        <v>0</v>
      </c>
      <c r="C473" t="s">
        <v>36</v>
      </c>
      <c r="G473" s="75">
        <v>1</v>
      </c>
      <c r="J473" s="66" t="str">
        <f t="shared" ca="1" si="36"/>
        <v>14%</v>
      </c>
      <c r="K473" t="s">
        <v>59</v>
      </c>
      <c r="L473" s="66" t="str">
        <f t="shared" ca="1" si="37"/>
        <v>Sin costo</v>
      </c>
      <c r="M473" t="s">
        <v>64</v>
      </c>
      <c r="N473" t="s">
        <v>66</v>
      </c>
      <c r="O473" t="s">
        <v>66</v>
      </c>
      <c r="P473" t="s">
        <v>66</v>
      </c>
      <c r="R473" t="s">
        <v>66</v>
      </c>
      <c r="U473" t="s">
        <v>90</v>
      </c>
      <c r="V473" t="s">
        <v>66</v>
      </c>
      <c r="W473" t="s">
        <v>66</v>
      </c>
      <c r="X473" t="s">
        <v>66</v>
      </c>
      <c r="Y473" t="s">
        <v>66</v>
      </c>
      <c r="Z473" s="99" t="str">
        <f t="shared" ca="1" si="38"/>
        <v/>
      </c>
      <c r="AA473" s="101" t="str">
        <f t="shared" ca="1" si="39"/>
        <v/>
      </c>
    </row>
    <row r="474" spans="2:27" ht="27.6" customHeight="1">
      <c r="B474">
        <f t="shared" ca="1" si="35"/>
        <v>0</v>
      </c>
      <c r="C474" t="s">
        <v>36</v>
      </c>
      <c r="G474" s="75">
        <v>1</v>
      </c>
      <c r="J474" s="66" t="str">
        <f t="shared" ca="1" si="36"/>
        <v>14%</v>
      </c>
      <c r="K474" t="s">
        <v>59</v>
      </c>
      <c r="L474" s="66" t="str">
        <f t="shared" ca="1" si="37"/>
        <v>Sin costo</v>
      </c>
      <c r="M474" t="s">
        <v>64</v>
      </c>
      <c r="N474" t="s">
        <v>66</v>
      </c>
      <c r="O474" t="s">
        <v>66</v>
      </c>
      <c r="P474" t="s">
        <v>66</v>
      </c>
      <c r="R474" t="s">
        <v>66</v>
      </c>
      <c r="U474" t="s">
        <v>90</v>
      </c>
      <c r="V474" t="s">
        <v>66</v>
      </c>
      <c r="W474" t="s">
        <v>66</v>
      </c>
      <c r="X474" t="s">
        <v>66</v>
      </c>
      <c r="Y474" t="s">
        <v>66</v>
      </c>
      <c r="Z474" s="99" t="str">
        <f t="shared" ca="1" si="38"/>
        <v/>
      </c>
      <c r="AA474" s="101" t="str">
        <f t="shared" ca="1" si="39"/>
        <v/>
      </c>
    </row>
    <row r="475" spans="2:27" ht="27.6" customHeight="1">
      <c r="B475">
        <f t="shared" ca="1" si="35"/>
        <v>0</v>
      </c>
      <c r="C475" t="s">
        <v>36</v>
      </c>
      <c r="G475" s="75">
        <v>1</v>
      </c>
      <c r="J475" s="66" t="str">
        <f t="shared" ca="1" si="36"/>
        <v>14%</v>
      </c>
      <c r="K475" t="s">
        <v>59</v>
      </c>
      <c r="L475" s="66" t="str">
        <f t="shared" ca="1" si="37"/>
        <v>Sin costo</v>
      </c>
      <c r="M475" t="s">
        <v>64</v>
      </c>
      <c r="N475" t="s">
        <v>66</v>
      </c>
      <c r="O475" t="s">
        <v>66</v>
      </c>
      <c r="P475" t="s">
        <v>66</v>
      </c>
      <c r="R475" t="s">
        <v>66</v>
      </c>
      <c r="U475" t="s">
        <v>90</v>
      </c>
      <c r="V475" t="s">
        <v>66</v>
      </c>
      <c r="W475" t="s">
        <v>66</v>
      </c>
      <c r="X475" t="s">
        <v>66</v>
      </c>
      <c r="Y475" t="s">
        <v>66</v>
      </c>
      <c r="Z475" s="99" t="str">
        <f t="shared" ca="1" si="38"/>
        <v/>
      </c>
      <c r="AA475" s="101" t="str">
        <f t="shared" ca="1" si="39"/>
        <v/>
      </c>
    </row>
    <row r="476" spans="2:27" ht="27.6" customHeight="1">
      <c r="B476">
        <f t="shared" ca="1" si="35"/>
        <v>0</v>
      </c>
      <c r="C476" t="s">
        <v>36</v>
      </c>
      <c r="G476" s="75">
        <v>1</v>
      </c>
      <c r="J476" s="66" t="str">
        <f t="shared" ca="1" si="36"/>
        <v>14%</v>
      </c>
      <c r="K476" t="s">
        <v>59</v>
      </c>
      <c r="L476" s="66" t="str">
        <f t="shared" ca="1" si="37"/>
        <v>Sin costo</v>
      </c>
      <c r="M476" t="s">
        <v>64</v>
      </c>
      <c r="N476" t="s">
        <v>66</v>
      </c>
      <c r="O476" t="s">
        <v>66</v>
      </c>
      <c r="P476" t="s">
        <v>66</v>
      </c>
      <c r="R476" t="s">
        <v>66</v>
      </c>
      <c r="U476" t="s">
        <v>90</v>
      </c>
      <c r="V476" t="s">
        <v>66</v>
      </c>
      <c r="W476" t="s">
        <v>66</v>
      </c>
      <c r="X476" t="s">
        <v>66</v>
      </c>
      <c r="Y476" t="s">
        <v>66</v>
      </c>
      <c r="Z476" s="99" t="str">
        <f t="shared" ca="1" si="38"/>
        <v/>
      </c>
      <c r="AA476" s="101" t="str">
        <f t="shared" ca="1" si="39"/>
        <v/>
      </c>
    </row>
    <row r="477" spans="2:27" ht="27.6" customHeight="1">
      <c r="B477">
        <f t="shared" ca="1" si="35"/>
        <v>0</v>
      </c>
      <c r="C477" t="s">
        <v>36</v>
      </c>
      <c r="G477" s="75">
        <v>1</v>
      </c>
      <c r="J477" s="66" t="str">
        <f t="shared" ca="1" si="36"/>
        <v>14%</v>
      </c>
      <c r="K477" t="s">
        <v>59</v>
      </c>
      <c r="L477" s="66" t="str">
        <f t="shared" ca="1" si="37"/>
        <v>Sin costo</v>
      </c>
      <c r="M477" t="s">
        <v>64</v>
      </c>
      <c r="N477" t="s">
        <v>66</v>
      </c>
      <c r="O477" t="s">
        <v>66</v>
      </c>
      <c r="P477" t="s">
        <v>66</v>
      </c>
      <c r="R477" t="s">
        <v>66</v>
      </c>
      <c r="U477" t="s">
        <v>90</v>
      </c>
      <c r="V477" t="s">
        <v>66</v>
      </c>
      <c r="W477" t="s">
        <v>66</v>
      </c>
      <c r="X477" t="s">
        <v>66</v>
      </c>
      <c r="Y477" t="s">
        <v>66</v>
      </c>
      <c r="Z477" s="99" t="str">
        <f t="shared" ca="1" si="38"/>
        <v/>
      </c>
      <c r="AA477" s="101" t="str">
        <f t="shared" ca="1" si="39"/>
        <v/>
      </c>
    </row>
    <row r="478" spans="2:27" ht="27.6" customHeight="1">
      <c r="B478">
        <f t="shared" ca="1" si="35"/>
        <v>0</v>
      </c>
      <c r="C478" t="s">
        <v>36</v>
      </c>
      <c r="G478" s="75">
        <v>1</v>
      </c>
      <c r="J478" s="66" t="str">
        <f t="shared" ca="1" si="36"/>
        <v>14%</v>
      </c>
      <c r="K478" t="s">
        <v>59</v>
      </c>
      <c r="L478" s="66" t="str">
        <f t="shared" ca="1" si="37"/>
        <v>Sin costo</v>
      </c>
      <c r="M478" t="s">
        <v>64</v>
      </c>
      <c r="N478" t="s">
        <v>66</v>
      </c>
      <c r="O478" t="s">
        <v>66</v>
      </c>
      <c r="P478" t="s">
        <v>66</v>
      </c>
      <c r="R478" t="s">
        <v>66</v>
      </c>
      <c r="U478" t="s">
        <v>90</v>
      </c>
      <c r="V478" t="s">
        <v>66</v>
      </c>
      <c r="W478" t="s">
        <v>66</v>
      </c>
      <c r="X478" t="s">
        <v>66</v>
      </c>
      <c r="Y478" t="s">
        <v>66</v>
      </c>
      <c r="Z478" s="99" t="str">
        <f t="shared" ca="1" si="38"/>
        <v/>
      </c>
      <c r="AA478" s="101" t="str">
        <f t="shared" ca="1" si="39"/>
        <v/>
      </c>
    </row>
    <row r="479" spans="2:27" ht="27.6" customHeight="1">
      <c r="B479">
        <f t="shared" ca="1" si="35"/>
        <v>0</v>
      </c>
      <c r="C479" t="s">
        <v>36</v>
      </c>
      <c r="G479" s="75">
        <v>1</v>
      </c>
      <c r="J479" s="66" t="str">
        <f t="shared" ca="1" si="36"/>
        <v>14%</v>
      </c>
      <c r="K479" t="s">
        <v>59</v>
      </c>
      <c r="L479" s="66" t="str">
        <f t="shared" ca="1" si="37"/>
        <v>Sin costo</v>
      </c>
      <c r="M479" t="s">
        <v>64</v>
      </c>
      <c r="N479" t="s">
        <v>66</v>
      </c>
      <c r="O479" t="s">
        <v>66</v>
      </c>
      <c r="P479" t="s">
        <v>66</v>
      </c>
      <c r="R479" t="s">
        <v>66</v>
      </c>
      <c r="U479" t="s">
        <v>90</v>
      </c>
      <c r="V479" t="s">
        <v>66</v>
      </c>
      <c r="W479" t="s">
        <v>66</v>
      </c>
      <c r="X479" t="s">
        <v>66</v>
      </c>
      <c r="Y479" t="s">
        <v>66</v>
      </c>
      <c r="Z479" s="99" t="str">
        <f t="shared" ca="1" si="38"/>
        <v/>
      </c>
      <c r="AA479" s="101" t="str">
        <f t="shared" ca="1" si="39"/>
        <v/>
      </c>
    </row>
    <row r="480" spans="2:27" ht="27.6" customHeight="1">
      <c r="B480">
        <f t="shared" ca="1" si="35"/>
        <v>0</v>
      </c>
      <c r="C480" t="s">
        <v>36</v>
      </c>
      <c r="G480" s="75">
        <v>1</v>
      </c>
      <c r="J480" s="66" t="str">
        <f t="shared" ca="1" si="36"/>
        <v>14%</v>
      </c>
      <c r="K480" t="s">
        <v>59</v>
      </c>
      <c r="L480" s="66" t="str">
        <f t="shared" ca="1" si="37"/>
        <v>Sin costo</v>
      </c>
      <c r="M480" t="s">
        <v>64</v>
      </c>
      <c r="N480" t="s">
        <v>66</v>
      </c>
      <c r="O480" t="s">
        <v>66</v>
      </c>
      <c r="P480" t="s">
        <v>66</v>
      </c>
      <c r="R480" t="s">
        <v>66</v>
      </c>
      <c r="U480" t="s">
        <v>90</v>
      </c>
      <c r="V480" t="s">
        <v>66</v>
      </c>
      <c r="W480" t="s">
        <v>66</v>
      </c>
      <c r="X480" t="s">
        <v>66</v>
      </c>
      <c r="Y480" t="s">
        <v>66</v>
      </c>
      <c r="Z480" s="99" t="str">
        <f t="shared" ca="1" si="38"/>
        <v/>
      </c>
      <c r="AA480" s="101" t="str">
        <f t="shared" ca="1" si="39"/>
        <v/>
      </c>
    </row>
    <row r="481" spans="2:27" ht="27.6" customHeight="1">
      <c r="B481">
        <f t="shared" ca="1" si="35"/>
        <v>0</v>
      </c>
      <c r="C481" t="s">
        <v>36</v>
      </c>
      <c r="G481" s="75">
        <v>1</v>
      </c>
      <c r="J481" s="66" t="str">
        <f t="shared" ca="1" si="36"/>
        <v>14%</v>
      </c>
      <c r="K481" t="s">
        <v>59</v>
      </c>
      <c r="L481" s="66" t="str">
        <f t="shared" ca="1" si="37"/>
        <v>Sin costo</v>
      </c>
      <c r="M481" t="s">
        <v>64</v>
      </c>
      <c r="N481" t="s">
        <v>66</v>
      </c>
      <c r="O481" t="s">
        <v>66</v>
      </c>
      <c r="P481" t="s">
        <v>66</v>
      </c>
      <c r="R481" t="s">
        <v>66</v>
      </c>
      <c r="U481" t="s">
        <v>90</v>
      </c>
      <c r="V481" t="s">
        <v>66</v>
      </c>
      <c r="W481" t="s">
        <v>66</v>
      </c>
      <c r="X481" t="s">
        <v>66</v>
      </c>
      <c r="Y481" t="s">
        <v>66</v>
      </c>
      <c r="Z481" s="99" t="str">
        <f t="shared" ca="1" si="38"/>
        <v/>
      </c>
      <c r="AA481" s="101" t="str">
        <f t="shared" ca="1" si="39"/>
        <v/>
      </c>
    </row>
    <row r="482" spans="2:27" ht="27.6" customHeight="1">
      <c r="B482">
        <f t="shared" ca="1" si="35"/>
        <v>0</v>
      </c>
      <c r="C482" t="s">
        <v>36</v>
      </c>
      <c r="G482" s="75">
        <v>1</v>
      </c>
      <c r="J482" s="66" t="str">
        <f t="shared" ca="1" si="36"/>
        <v>14%</v>
      </c>
      <c r="K482" t="s">
        <v>59</v>
      </c>
      <c r="L482" s="66" t="str">
        <f t="shared" ca="1" si="37"/>
        <v>Sin costo</v>
      </c>
      <c r="M482" t="s">
        <v>64</v>
      </c>
      <c r="N482" t="s">
        <v>66</v>
      </c>
      <c r="O482" t="s">
        <v>66</v>
      </c>
      <c r="P482" t="s">
        <v>66</v>
      </c>
      <c r="R482" t="s">
        <v>66</v>
      </c>
      <c r="U482" t="s">
        <v>90</v>
      </c>
      <c r="V482" t="s">
        <v>66</v>
      </c>
      <c r="W482" t="s">
        <v>66</v>
      </c>
      <c r="X482" t="s">
        <v>66</v>
      </c>
      <c r="Y482" t="s">
        <v>66</v>
      </c>
      <c r="Z482" s="99" t="str">
        <f t="shared" ca="1" si="38"/>
        <v/>
      </c>
      <c r="AA482" s="101" t="str">
        <f t="shared" ca="1" si="39"/>
        <v/>
      </c>
    </row>
    <row r="483" spans="2:27" ht="27.6" customHeight="1">
      <c r="B483">
        <f t="shared" ca="1" si="35"/>
        <v>0</v>
      </c>
      <c r="C483" t="s">
        <v>36</v>
      </c>
      <c r="G483" s="75">
        <v>1</v>
      </c>
      <c r="J483" s="66" t="str">
        <f t="shared" ca="1" si="36"/>
        <v>14%</v>
      </c>
      <c r="K483" t="s">
        <v>59</v>
      </c>
      <c r="L483" s="66" t="str">
        <f t="shared" ca="1" si="37"/>
        <v>Sin costo</v>
      </c>
      <c r="M483" t="s">
        <v>64</v>
      </c>
      <c r="N483" t="s">
        <v>66</v>
      </c>
      <c r="O483" t="s">
        <v>66</v>
      </c>
      <c r="P483" t="s">
        <v>66</v>
      </c>
      <c r="R483" t="s">
        <v>66</v>
      </c>
      <c r="U483" t="s">
        <v>90</v>
      </c>
      <c r="V483" t="s">
        <v>66</v>
      </c>
      <c r="W483" t="s">
        <v>66</v>
      </c>
      <c r="X483" t="s">
        <v>66</v>
      </c>
      <c r="Y483" t="s">
        <v>66</v>
      </c>
      <c r="Z483" s="99" t="str">
        <f t="shared" ca="1" si="38"/>
        <v/>
      </c>
      <c r="AA483" s="101" t="str">
        <f t="shared" ca="1" si="39"/>
        <v/>
      </c>
    </row>
    <row r="484" spans="2:27" ht="27.6" customHeight="1">
      <c r="B484">
        <f t="shared" ca="1" si="35"/>
        <v>0</v>
      </c>
      <c r="C484" t="s">
        <v>36</v>
      </c>
      <c r="G484" s="75">
        <v>1</v>
      </c>
      <c r="J484" s="66" t="str">
        <f t="shared" ca="1" si="36"/>
        <v>14%</v>
      </c>
      <c r="K484" t="s">
        <v>59</v>
      </c>
      <c r="L484" s="66" t="str">
        <f t="shared" ca="1" si="37"/>
        <v>Sin costo</v>
      </c>
      <c r="M484" t="s">
        <v>64</v>
      </c>
      <c r="N484" t="s">
        <v>66</v>
      </c>
      <c r="O484" t="s">
        <v>66</v>
      </c>
      <c r="P484" t="s">
        <v>66</v>
      </c>
      <c r="R484" t="s">
        <v>66</v>
      </c>
      <c r="U484" t="s">
        <v>90</v>
      </c>
      <c r="V484" t="s">
        <v>66</v>
      </c>
      <c r="W484" t="s">
        <v>66</v>
      </c>
      <c r="X484" t="s">
        <v>66</v>
      </c>
      <c r="Y484" t="s">
        <v>66</v>
      </c>
      <c r="Z484" s="99" t="str">
        <f t="shared" ca="1" si="38"/>
        <v/>
      </c>
      <c r="AA484" s="101" t="str">
        <f t="shared" ca="1" si="39"/>
        <v/>
      </c>
    </row>
    <row r="485" spans="2:27" ht="27.6" customHeight="1">
      <c r="B485">
        <f t="shared" ca="1" si="35"/>
        <v>0</v>
      </c>
      <c r="C485" t="s">
        <v>36</v>
      </c>
      <c r="G485" s="75">
        <v>1</v>
      </c>
      <c r="J485" s="66" t="str">
        <f t="shared" ca="1" si="36"/>
        <v>14%</v>
      </c>
      <c r="K485" t="s">
        <v>59</v>
      </c>
      <c r="L485" s="66" t="str">
        <f t="shared" ca="1" si="37"/>
        <v>Sin costo</v>
      </c>
      <c r="M485" t="s">
        <v>64</v>
      </c>
      <c r="N485" t="s">
        <v>66</v>
      </c>
      <c r="O485" t="s">
        <v>66</v>
      </c>
      <c r="P485" t="s">
        <v>66</v>
      </c>
      <c r="R485" t="s">
        <v>66</v>
      </c>
      <c r="U485" t="s">
        <v>90</v>
      </c>
      <c r="V485" t="s">
        <v>66</v>
      </c>
      <c r="W485" t="s">
        <v>66</v>
      </c>
      <c r="X485" t="s">
        <v>66</v>
      </c>
      <c r="Y485" t="s">
        <v>66</v>
      </c>
      <c r="Z485" s="99" t="str">
        <f t="shared" ca="1" si="38"/>
        <v/>
      </c>
      <c r="AA485" s="101" t="str">
        <f t="shared" ca="1" si="39"/>
        <v/>
      </c>
    </row>
    <row r="486" spans="2:27" ht="27.6" customHeight="1">
      <c r="B486">
        <f t="shared" ca="1" si="35"/>
        <v>0</v>
      </c>
      <c r="C486" t="s">
        <v>36</v>
      </c>
      <c r="G486" s="75">
        <v>1</v>
      </c>
      <c r="J486" s="66" t="str">
        <f t="shared" ca="1" si="36"/>
        <v>14%</v>
      </c>
      <c r="K486" t="s">
        <v>59</v>
      </c>
      <c r="L486" s="66" t="str">
        <f t="shared" ca="1" si="37"/>
        <v>Sin costo</v>
      </c>
      <c r="M486" t="s">
        <v>64</v>
      </c>
      <c r="N486" t="s">
        <v>66</v>
      </c>
      <c r="O486" t="s">
        <v>66</v>
      </c>
      <c r="P486" t="s">
        <v>66</v>
      </c>
      <c r="R486" t="s">
        <v>66</v>
      </c>
      <c r="U486" t="s">
        <v>90</v>
      </c>
      <c r="V486" t="s">
        <v>66</v>
      </c>
      <c r="W486" t="s">
        <v>66</v>
      </c>
      <c r="X486" t="s">
        <v>66</v>
      </c>
      <c r="Y486" t="s">
        <v>66</v>
      </c>
      <c r="Z486" s="99" t="str">
        <f t="shared" ca="1" si="38"/>
        <v/>
      </c>
      <c r="AA486" s="101" t="str">
        <f t="shared" ca="1" si="39"/>
        <v/>
      </c>
    </row>
    <row r="487" spans="2:27" ht="27.6" customHeight="1">
      <c r="B487">
        <f t="shared" ca="1" si="35"/>
        <v>0</v>
      </c>
      <c r="C487" t="s">
        <v>36</v>
      </c>
      <c r="G487" s="75">
        <v>1</v>
      </c>
      <c r="J487" s="66" t="str">
        <f t="shared" ca="1" si="36"/>
        <v>14%</v>
      </c>
      <c r="K487" t="s">
        <v>59</v>
      </c>
      <c r="L487" s="66" t="str">
        <f t="shared" ca="1" si="37"/>
        <v>Sin costo</v>
      </c>
      <c r="M487" t="s">
        <v>64</v>
      </c>
      <c r="N487" t="s">
        <v>66</v>
      </c>
      <c r="O487" t="s">
        <v>66</v>
      </c>
      <c r="P487" t="s">
        <v>66</v>
      </c>
      <c r="R487" t="s">
        <v>66</v>
      </c>
      <c r="U487" t="s">
        <v>90</v>
      </c>
      <c r="V487" t="s">
        <v>66</v>
      </c>
      <c r="W487" t="s">
        <v>66</v>
      </c>
      <c r="X487" t="s">
        <v>66</v>
      </c>
      <c r="Y487" t="s">
        <v>66</v>
      </c>
      <c r="Z487" s="99" t="str">
        <f t="shared" ca="1" si="38"/>
        <v/>
      </c>
      <c r="AA487" s="101" t="str">
        <f t="shared" ca="1" si="39"/>
        <v/>
      </c>
    </row>
    <row r="488" spans="2:27" ht="27.6" customHeight="1">
      <c r="B488">
        <f t="shared" ca="1" si="35"/>
        <v>0</v>
      </c>
      <c r="C488" t="s">
        <v>36</v>
      </c>
      <c r="G488" s="75">
        <v>1</v>
      </c>
      <c r="J488" s="66" t="str">
        <f t="shared" ca="1" si="36"/>
        <v>14%</v>
      </c>
      <c r="K488" t="s">
        <v>59</v>
      </c>
      <c r="L488" s="66" t="str">
        <f t="shared" ca="1" si="37"/>
        <v>Sin costo</v>
      </c>
      <c r="M488" t="s">
        <v>64</v>
      </c>
      <c r="N488" t="s">
        <v>66</v>
      </c>
      <c r="O488" t="s">
        <v>66</v>
      </c>
      <c r="P488" t="s">
        <v>66</v>
      </c>
      <c r="R488" t="s">
        <v>66</v>
      </c>
      <c r="U488" t="s">
        <v>90</v>
      </c>
      <c r="V488" t="s">
        <v>66</v>
      </c>
      <c r="W488" t="s">
        <v>66</v>
      </c>
      <c r="X488" t="s">
        <v>66</v>
      </c>
      <c r="Y488" t="s">
        <v>66</v>
      </c>
      <c r="Z488" s="99" t="str">
        <f t="shared" ca="1" si="38"/>
        <v/>
      </c>
      <c r="AA488" s="101" t="str">
        <f t="shared" ca="1" si="39"/>
        <v/>
      </c>
    </row>
    <row r="489" spans="2:27" ht="27.6" customHeight="1">
      <c r="B489">
        <f t="shared" ca="1" si="35"/>
        <v>0</v>
      </c>
      <c r="C489" t="s">
        <v>36</v>
      </c>
      <c r="G489" s="75">
        <v>1</v>
      </c>
      <c r="J489" s="66" t="str">
        <f t="shared" ca="1" si="36"/>
        <v>14%</v>
      </c>
      <c r="K489" t="s">
        <v>59</v>
      </c>
      <c r="L489" s="66" t="str">
        <f t="shared" ca="1" si="37"/>
        <v>Sin costo</v>
      </c>
      <c r="M489" t="s">
        <v>64</v>
      </c>
      <c r="N489" t="s">
        <v>66</v>
      </c>
      <c r="O489" t="s">
        <v>66</v>
      </c>
      <c r="P489" t="s">
        <v>66</v>
      </c>
      <c r="R489" t="s">
        <v>66</v>
      </c>
      <c r="U489" t="s">
        <v>90</v>
      </c>
      <c r="V489" t="s">
        <v>66</v>
      </c>
      <c r="W489" t="s">
        <v>66</v>
      </c>
      <c r="X489" t="s">
        <v>66</v>
      </c>
      <c r="Y489" t="s">
        <v>66</v>
      </c>
      <c r="Z489" s="99" t="str">
        <f t="shared" ca="1" si="38"/>
        <v/>
      </c>
      <c r="AA489" s="101" t="str">
        <f t="shared" ca="1" si="39"/>
        <v/>
      </c>
    </row>
    <row r="490" spans="2:27" ht="27.6" customHeight="1">
      <c r="B490">
        <f t="shared" ca="1" si="35"/>
        <v>0</v>
      </c>
      <c r="C490" t="s">
        <v>36</v>
      </c>
      <c r="G490" s="75">
        <v>1</v>
      </c>
      <c r="J490" s="66" t="str">
        <f t="shared" ca="1" si="36"/>
        <v>14%</v>
      </c>
      <c r="K490" t="s">
        <v>59</v>
      </c>
      <c r="L490" s="66" t="str">
        <f t="shared" ca="1" si="37"/>
        <v>Sin costo</v>
      </c>
      <c r="M490" t="s">
        <v>64</v>
      </c>
      <c r="N490" t="s">
        <v>66</v>
      </c>
      <c r="O490" t="s">
        <v>66</v>
      </c>
      <c r="P490" t="s">
        <v>66</v>
      </c>
      <c r="R490" t="s">
        <v>66</v>
      </c>
      <c r="U490" t="s">
        <v>90</v>
      </c>
      <c r="V490" t="s">
        <v>66</v>
      </c>
      <c r="W490" t="s">
        <v>66</v>
      </c>
      <c r="X490" t="s">
        <v>66</v>
      </c>
      <c r="Y490" t="s">
        <v>66</v>
      </c>
      <c r="Z490" s="99" t="str">
        <f t="shared" ca="1" si="38"/>
        <v/>
      </c>
      <c r="AA490" s="101" t="str">
        <f t="shared" ca="1" si="39"/>
        <v/>
      </c>
    </row>
    <row r="491" spans="2:27" ht="27.6" customHeight="1">
      <c r="B491">
        <f t="shared" ca="1" si="35"/>
        <v>0</v>
      </c>
      <c r="C491" t="s">
        <v>36</v>
      </c>
      <c r="G491" s="75">
        <v>1</v>
      </c>
      <c r="J491" s="66" t="str">
        <f t="shared" ca="1" si="36"/>
        <v>14%</v>
      </c>
      <c r="K491" t="s">
        <v>59</v>
      </c>
      <c r="L491" s="66" t="str">
        <f t="shared" ca="1" si="37"/>
        <v>Sin costo</v>
      </c>
      <c r="M491" t="s">
        <v>64</v>
      </c>
      <c r="N491" t="s">
        <v>66</v>
      </c>
      <c r="O491" t="s">
        <v>66</v>
      </c>
      <c r="P491" t="s">
        <v>66</v>
      </c>
      <c r="R491" t="s">
        <v>66</v>
      </c>
      <c r="U491" t="s">
        <v>90</v>
      </c>
      <c r="V491" t="s">
        <v>66</v>
      </c>
      <c r="W491" t="s">
        <v>66</v>
      </c>
      <c r="X491" t="s">
        <v>66</v>
      </c>
      <c r="Y491" t="s">
        <v>66</v>
      </c>
      <c r="Z491" s="99" t="str">
        <f t="shared" ca="1" si="38"/>
        <v/>
      </c>
      <c r="AA491" s="101" t="str">
        <f t="shared" ca="1" si="39"/>
        <v/>
      </c>
    </row>
    <row r="492" spans="2:27" ht="27.6" customHeight="1">
      <c r="B492">
        <f t="shared" ca="1" si="35"/>
        <v>0</v>
      </c>
      <c r="C492" t="s">
        <v>36</v>
      </c>
      <c r="G492" s="75">
        <v>1</v>
      </c>
      <c r="J492" s="66" t="str">
        <f t="shared" ca="1" si="36"/>
        <v>14%</v>
      </c>
      <c r="K492" t="s">
        <v>59</v>
      </c>
      <c r="L492" s="66" t="str">
        <f t="shared" ca="1" si="37"/>
        <v>Sin costo</v>
      </c>
      <c r="M492" t="s">
        <v>64</v>
      </c>
      <c r="N492" t="s">
        <v>66</v>
      </c>
      <c r="O492" t="s">
        <v>66</v>
      </c>
      <c r="P492" t="s">
        <v>66</v>
      </c>
      <c r="R492" t="s">
        <v>66</v>
      </c>
      <c r="U492" t="s">
        <v>90</v>
      </c>
      <c r="V492" t="s">
        <v>66</v>
      </c>
      <c r="W492" t="s">
        <v>66</v>
      </c>
      <c r="X492" t="s">
        <v>66</v>
      </c>
      <c r="Y492" t="s">
        <v>66</v>
      </c>
      <c r="Z492" s="99" t="str">
        <f t="shared" ca="1" si="38"/>
        <v/>
      </c>
      <c r="AA492" s="101" t="str">
        <f t="shared" ca="1" si="39"/>
        <v/>
      </c>
    </row>
    <row r="493" spans="2:27" ht="27.6" customHeight="1">
      <c r="B493">
        <f t="shared" ca="1" si="35"/>
        <v>0</v>
      </c>
      <c r="C493" t="s">
        <v>36</v>
      </c>
      <c r="G493" s="75">
        <v>1</v>
      </c>
      <c r="J493" s="66" t="str">
        <f t="shared" ca="1" si="36"/>
        <v>14%</v>
      </c>
      <c r="K493" t="s">
        <v>59</v>
      </c>
      <c r="L493" s="66" t="str">
        <f t="shared" ca="1" si="37"/>
        <v>Sin costo</v>
      </c>
      <c r="M493" t="s">
        <v>64</v>
      </c>
      <c r="N493" t="s">
        <v>66</v>
      </c>
      <c r="O493" t="s">
        <v>66</v>
      </c>
      <c r="P493" t="s">
        <v>66</v>
      </c>
      <c r="R493" t="s">
        <v>66</v>
      </c>
      <c r="U493" t="s">
        <v>90</v>
      </c>
      <c r="V493" t="s">
        <v>66</v>
      </c>
      <c r="W493" t="s">
        <v>66</v>
      </c>
      <c r="X493" t="s">
        <v>66</v>
      </c>
      <c r="Y493" t="s">
        <v>66</v>
      </c>
      <c r="Z493" s="99" t="str">
        <f t="shared" ca="1" si="38"/>
        <v/>
      </c>
      <c r="AA493" s="101" t="str">
        <f t="shared" ca="1" si="39"/>
        <v/>
      </c>
    </row>
    <row r="494" spans="2:27" ht="27.6" customHeight="1">
      <c r="B494">
        <f t="shared" ca="1" si="35"/>
        <v>0</v>
      </c>
      <c r="C494" t="s">
        <v>36</v>
      </c>
      <c r="G494" s="75">
        <v>1</v>
      </c>
      <c r="J494" s="66" t="str">
        <f t="shared" ca="1" si="36"/>
        <v>14%</v>
      </c>
      <c r="K494" t="s">
        <v>59</v>
      </c>
      <c r="L494" s="66" t="str">
        <f t="shared" ca="1" si="37"/>
        <v>Sin costo</v>
      </c>
      <c r="M494" t="s">
        <v>64</v>
      </c>
      <c r="N494" t="s">
        <v>66</v>
      </c>
      <c r="O494" t="s">
        <v>66</v>
      </c>
      <c r="P494" t="s">
        <v>66</v>
      </c>
      <c r="R494" t="s">
        <v>66</v>
      </c>
      <c r="U494" t="s">
        <v>90</v>
      </c>
      <c r="V494" t="s">
        <v>66</v>
      </c>
      <c r="W494" t="s">
        <v>66</v>
      </c>
      <c r="X494" t="s">
        <v>66</v>
      </c>
      <c r="Y494" t="s">
        <v>66</v>
      </c>
      <c r="Z494" s="99" t="str">
        <f t="shared" ca="1" si="38"/>
        <v/>
      </c>
      <c r="AA494" s="101" t="str">
        <f t="shared" ca="1" si="39"/>
        <v/>
      </c>
    </row>
    <row r="495" spans="2:27" ht="27.6" customHeight="1">
      <c r="B495">
        <f t="shared" ca="1" si="35"/>
        <v>0</v>
      </c>
      <c r="C495" t="s">
        <v>36</v>
      </c>
      <c r="G495" s="75">
        <v>1</v>
      </c>
      <c r="J495" s="66" t="str">
        <f t="shared" ca="1" si="36"/>
        <v>14%</v>
      </c>
      <c r="K495" t="s">
        <v>59</v>
      </c>
      <c r="L495" s="66" t="str">
        <f t="shared" ca="1" si="37"/>
        <v>Sin costo</v>
      </c>
      <c r="M495" t="s">
        <v>64</v>
      </c>
      <c r="N495" t="s">
        <v>66</v>
      </c>
      <c r="O495" t="s">
        <v>66</v>
      </c>
      <c r="P495" t="s">
        <v>66</v>
      </c>
      <c r="R495" t="s">
        <v>66</v>
      </c>
      <c r="U495" t="s">
        <v>90</v>
      </c>
      <c r="V495" t="s">
        <v>66</v>
      </c>
      <c r="W495" t="s">
        <v>66</v>
      </c>
      <c r="X495" t="s">
        <v>66</v>
      </c>
      <c r="Y495" t="s">
        <v>66</v>
      </c>
      <c r="Z495" s="99" t="str">
        <f t="shared" ca="1" si="38"/>
        <v/>
      </c>
      <c r="AA495" s="101" t="str">
        <f t="shared" ca="1" si="39"/>
        <v/>
      </c>
    </row>
    <row r="496" spans="2:27" ht="27.6" customHeight="1">
      <c r="B496">
        <f t="shared" ca="1" si="35"/>
        <v>0</v>
      </c>
      <c r="C496" t="s">
        <v>36</v>
      </c>
      <c r="G496" s="75">
        <v>1</v>
      </c>
      <c r="J496" s="66" t="str">
        <f t="shared" ca="1" si="36"/>
        <v>14%</v>
      </c>
      <c r="K496" t="s">
        <v>59</v>
      </c>
      <c r="L496" s="66" t="str">
        <f t="shared" ca="1" si="37"/>
        <v>Sin costo</v>
      </c>
      <c r="M496" t="s">
        <v>64</v>
      </c>
      <c r="N496" t="s">
        <v>66</v>
      </c>
      <c r="O496" t="s">
        <v>66</v>
      </c>
      <c r="P496" t="s">
        <v>66</v>
      </c>
      <c r="R496" t="s">
        <v>66</v>
      </c>
      <c r="U496" t="s">
        <v>90</v>
      </c>
      <c r="V496" t="s">
        <v>66</v>
      </c>
      <c r="W496" t="s">
        <v>66</v>
      </c>
      <c r="X496" t="s">
        <v>66</v>
      </c>
      <c r="Y496" t="s">
        <v>66</v>
      </c>
      <c r="Z496" s="99" t="str">
        <f t="shared" ca="1" si="38"/>
        <v/>
      </c>
      <c r="AA496" s="101" t="str">
        <f t="shared" ca="1" si="39"/>
        <v/>
      </c>
    </row>
    <row r="497" spans="2:27" ht="27.6" customHeight="1">
      <c r="B497">
        <f t="shared" ca="1" si="35"/>
        <v>0</v>
      </c>
      <c r="C497" t="s">
        <v>36</v>
      </c>
      <c r="G497" s="75">
        <v>1</v>
      </c>
      <c r="J497" s="66" t="str">
        <f t="shared" ca="1" si="36"/>
        <v>14%</v>
      </c>
      <c r="K497" t="s">
        <v>59</v>
      </c>
      <c r="L497" s="66" t="str">
        <f t="shared" ca="1" si="37"/>
        <v>Sin costo</v>
      </c>
      <c r="M497" t="s">
        <v>64</v>
      </c>
      <c r="N497" t="s">
        <v>66</v>
      </c>
      <c r="O497" t="s">
        <v>66</v>
      </c>
      <c r="P497" t="s">
        <v>66</v>
      </c>
      <c r="R497" t="s">
        <v>66</v>
      </c>
      <c r="U497" t="s">
        <v>90</v>
      </c>
      <c r="V497" t="s">
        <v>66</v>
      </c>
      <c r="W497" t="s">
        <v>66</v>
      </c>
      <c r="X497" t="s">
        <v>66</v>
      </c>
      <c r="Y497" t="s">
        <v>66</v>
      </c>
      <c r="Z497" s="99" t="str">
        <f t="shared" ca="1" si="38"/>
        <v/>
      </c>
      <c r="AA497" s="101" t="str">
        <f t="shared" ca="1" si="39"/>
        <v/>
      </c>
    </row>
    <row r="498" spans="2:27" ht="27.6" customHeight="1">
      <c r="B498">
        <f t="shared" ca="1" si="35"/>
        <v>0</v>
      </c>
      <c r="C498" t="s">
        <v>36</v>
      </c>
      <c r="G498" s="75">
        <v>1</v>
      </c>
      <c r="J498" s="66" t="str">
        <f t="shared" ca="1" si="36"/>
        <v>14%</v>
      </c>
      <c r="K498" t="s">
        <v>59</v>
      </c>
      <c r="L498" s="66" t="str">
        <f t="shared" ca="1" si="37"/>
        <v>Sin costo</v>
      </c>
      <c r="M498" t="s">
        <v>64</v>
      </c>
      <c r="N498" t="s">
        <v>66</v>
      </c>
      <c r="O498" t="s">
        <v>66</v>
      </c>
      <c r="P498" t="s">
        <v>66</v>
      </c>
      <c r="R498" t="s">
        <v>66</v>
      </c>
      <c r="U498" t="s">
        <v>90</v>
      </c>
      <c r="V498" t="s">
        <v>66</v>
      </c>
      <c r="W498" t="s">
        <v>66</v>
      </c>
      <c r="X498" t="s">
        <v>66</v>
      </c>
      <c r="Y498" t="s">
        <v>66</v>
      </c>
      <c r="Z498" s="99" t="str">
        <f t="shared" ca="1" si="38"/>
        <v/>
      </c>
      <c r="AA498" s="101" t="str">
        <f t="shared" ca="1" si="39"/>
        <v/>
      </c>
    </row>
    <row r="499" spans="2:27" ht="27.6" customHeight="1">
      <c r="B499">
        <f t="shared" ca="1" si="35"/>
        <v>0</v>
      </c>
      <c r="C499" t="s">
        <v>36</v>
      </c>
      <c r="G499" s="75">
        <v>1</v>
      </c>
      <c r="J499" s="66" t="str">
        <f t="shared" ca="1" si="36"/>
        <v>14%</v>
      </c>
      <c r="K499" t="s">
        <v>59</v>
      </c>
      <c r="L499" s="66" t="str">
        <f t="shared" ca="1" si="37"/>
        <v>Sin costo</v>
      </c>
      <c r="M499" t="s">
        <v>64</v>
      </c>
      <c r="N499" t="s">
        <v>66</v>
      </c>
      <c r="O499" t="s">
        <v>66</v>
      </c>
      <c r="P499" t="s">
        <v>66</v>
      </c>
      <c r="R499" t="s">
        <v>66</v>
      </c>
      <c r="U499" t="s">
        <v>90</v>
      </c>
      <c r="V499" t="s">
        <v>66</v>
      </c>
      <c r="W499" t="s">
        <v>66</v>
      </c>
      <c r="X499" t="s">
        <v>66</v>
      </c>
      <c r="Y499" t="s">
        <v>66</v>
      </c>
      <c r="Z499" s="99" t="str">
        <f t="shared" ca="1" si="38"/>
        <v/>
      </c>
      <c r="AA499" s="101" t="str">
        <f t="shared" ca="1" si="39"/>
        <v/>
      </c>
    </row>
    <row r="500" spans="2:27" ht="27.6" customHeight="1">
      <c r="B500">
        <f t="shared" ca="1" si="35"/>
        <v>0</v>
      </c>
      <c r="C500" t="s">
        <v>36</v>
      </c>
      <c r="G500" s="75">
        <v>1</v>
      </c>
      <c r="J500" s="66" t="str">
        <f t="shared" ca="1" si="36"/>
        <v>14%</v>
      </c>
      <c r="K500" t="s">
        <v>59</v>
      </c>
      <c r="L500" s="66" t="str">
        <f t="shared" ca="1" si="37"/>
        <v>Sin costo</v>
      </c>
      <c r="M500" t="s">
        <v>64</v>
      </c>
      <c r="N500" t="s">
        <v>66</v>
      </c>
      <c r="O500" t="s">
        <v>66</v>
      </c>
      <c r="P500" t="s">
        <v>66</v>
      </c>
      <c r="R500" t="s">
        <v>66</v>
      </c>
      <c r="U500" t="s">
        <v>90</v>
      </c>
      <c r="V500" t="s">
        <v>66</v>
      </c>
      <c r="W500" t="s">
        <v>66</v>
      </c>
      <c r="X500" t="s">
        <v>66</v>
      </c>
      <c r="Y500" t="s">
        <v>66</v>
      </c>
      <c r="Z500" s="99" t="str">
        <f t="shared" ca="1" si="38"/>
        <v/>
      </c>
      <c r="AA500" s="101" t="str">
        <f t="shared" ca="1" si="39"/>
        <v/>
      </c>
    </row>
    <row r="501" spans="2:27" ht="27.6" customHeight="1">
      <c r="B501">
        <f t="shared" ca="1" si="35"/>
        <v>0</v>
      </c>
      <c r="C501" t="s">
        <v>36</v>
      </c>
      <c r="G501" s="75">
        <v>1</v>
      </c>
      <c r="J501" s="66" t="str">
        <f t="shared" ca="1" si="36"/>
        <v>14%</v>
      </c>
      <c r="K501" t="s">
        <v>59</v>
      </c>
      <c r="L501" s="66" t="str">
        <f t="shared" ca="1" si="37"/>
        <v>Sin costo</v>
      </c>
      <c r="M501" t="s">
        <v>64</v>
      </c>
      <c r="N501" t="s">
        <v>66</v>
      </c>
      <c r="O501" t="s">
        <v>66</v>
      </c>
      <c r="P501" t="s">
        <v>66</v>
      </c>
      <c r="R501" t="s">
        <v>66</v>
      </c>
      <c r="U501" t="s">
        <v>90</v>
      </c>
      <c r="V501" t="s">
        <v>66</v>
      </c>
      <c r="W501" t="s">
        <v>66</v>
      </c>
      <c r="X501" t="s">
        <v>66</v>
      </c>
      <c r="Y501" t="s">
        <v>66</v>
      </c>
      <c r="Z501" s="99" t="str">
        <f t="shared" ca="1" si="38"/>
        <v/>
      </c>
      <c r="AA501" s="101" t="str">
        <f t="shared" ca="1" si="39"/>
        <v/>
      </c>
    </row>
    <row r="502" spans="2:27" ht="27.6" customHeight="1">
      <c r="B502">
        <f t="shared" ca="1" si="35"/>
        <v>0</v>
      </c>
      <c r="C502" t="s">
        <v>36</v>
      </c>
      <c r="G502" s="75">
        <v>1</v>
      </c>
      <c r="J502" s="66" t="str">
        <f t="shared" ca="1" si="36"/>
        <v>14%</v>
      </c>
      <c r="K502" t="s">
        <v>59</v>
      </c>
      <c r="L502" s="66" t="str">
        <f t="shared" ca="1" si="37"/>
        <v>Sin costo</v>
      </c>
      <c r="M502" t="s">
        <v>64</v>
      </c>
      <c r="N502" t="s">
        <v>66</v>
      </c>
      <c r="O502" t="s">
        <v>66</v>
      </c>
      <c r="P502" t="s">
        <v>66</v>
      </c>
      <c r="R502" t="s">
        <v>66</v>
      </c>
      <c r="U502" t="s">
        <v>90</v>
      </c>
      <c r="V502" t="s">
        <v>66</v>
      </c>
      <c r="W502" t="s">
        <v>66</v>
      </c>
      <c r="X502" t="s">
        <v>66</v>
      </c>
      <c r="Y502" t="s">
        <v>66</v>
      </c>
      <c r="Z502" s="99" t="str">
        <f t="shared" ca="1" si="38"/>
        <v/>
      </c>
      <c r="AA502" s="101" t="str">
        <f t="shared" ca="1" si="39"/>
        <v/>
      </c>
    </row>
    <row r="503" spans="2:27" ht="27.6" customHeight="1">
      <c r="B503">
        <f t="shared" ca="1" si="35"/>
        <v>0</v>
      </c>
      <c r="C503" t="s">
        <v>36</v>
      </c>
      <c r="G503" s="75">
        <v>1</v>
      </c>
      <c r="J503" s="66" t="str">
        <f t="shared" ca="1" si="36"/>
        <v>14%</v>
      </c>
      <c r="K503" t="s">
        <v>59</v>
      </c>
      <c r="L503" s="66" t="str">
        <f t="shared" ca="1" si="37"/>
        <v>Sin costo</v>
      </c>
      <c r="M503" t="s">
        <v>64</v>
      </c>
      <c r="N503" t="s">
        <v>66</v>
      </c>
      <c r="O503" t="s">
        <v>66</v>
      </c>
      <c r="P503" t="s">
        <v>66</v>
      </c>
      <c r="R503" t="s">
        <v>66</v>
      </c>
      <c r="U503" t="s">
        <v>90</v>
      </c>
      <c r="V503" t="s">
        <v>66</v>
      </c>
      <c r="W503" t="s">
        <v>66</v>
      </c>
      <c r="X503" t="s">
        <v>66</v>
      </c>
      <c r="Y503" t="s">
        <v>66</v>
      </c>
      <c r="Z503" s="99" t="str">
        <f t="shared" ca="1" si="38"/>
        <v/>
      </c>
      <c r="AA503" s="101" t="str">
        <f t="shared" ca="1" si="39"/>
        <v/>
      </c>
    </row>
    <row r="504" spans="2:27" ht="27.6" customHeight="1">
      <c r="B504">
        <f t="shared" ca="1" si="35"/>
        <v>0</v>
      </c>
      <c r="C504" t="s">
        <v>36</v>
      </c>
      <c r="G504" s="75">
        <v>1</v>
      </c>
      <c r="J504" s="66" t="str">
        <f t="shared" ca="1" si="36"/>
        <v>14%</v>
      </c>
      <c r="K504" t="s">
        <v>59</v>
      </c>
      <c r="L504" s="66" t="str">
        <f t="shared" ca="1" si="37"/>
        <v>Sin costo</v>
      </c>
      <c r="M504" t="s">
        <v>64</v>
      </c>
      <c r="N504" t="s">
        <v>66</v>
      </c>
      <c r="O504" t="s">
        <v>66</v>
      </c>
      <c r="P504" t="s">
        <v>66</v>
      </c>
      <c r="R504" t="s">
        <v>66</v>
      </c>
      <c r="U504" t="s">
        <v>90</v>
      </c>
      <c r="V504" t="s">
        <v>66</v>
      </c>
      <c r="W504" t="s">
        <v>66</v>
      </c>
      <c r="X504" t="s">
        <v>66</v>
      </c>
      <c r="Y504" t="s">
        <v>66</v>
      </c>
      <c r="Z504" s="99" t="str">
        <f t="shared" ca="1" si="38"/>
        <v/>
      </c>
      <c r="AA504" s="101" t="str">
        <f t="shared" ca="1" si="39"/>
        <v/>
      </c>
    </row>
    <row r="505" spans="2:27" ht="27.6" customHeight="1">
      <c r="B505">
        <f t="shared" ca="1" si="35"/>
        <v>0</v>
      </c>
      <c r="C505" t="s">
        <v>36</v>
      </c>
      <c r="G505" s="75">
        <v>1</v>
      </c>
      <c r="J505" s="66" t="str">
        <f t="shared" ca="1" si="36"/>
        <v>14%</v>
      </c>
      <c r="K505" t="s">
        <v>59</v>
      </c>
      <c r="L505" s="66" t="str">
        <f t="shared" ca="1" si="37"/>
        <v>Sin costo</v>
      </c>
      <c r="M505" t="s">
        <v>64</v>
      </c>
      <c r="N505" t="s">
        <v>66</v>
      </c>
      <c r="O505" t="s">
        <v>66</v>
      </c>
      <c r="P505" t="s">
        <v>66</v>
      </c>
      <c r="R505" t="s">
        <v>66</v>
      </c>
      <c r="U505" t="s">
        <v>90</v>
      </c>
      <c r="V505" t="s">
        <v>66</v>
      </c>
      <c r="W505" t="s">
        <v>66</v>
      </c>
      <c r="X505" t="s">
        <v>66</v>
      </c>
      <c r="Y505" t="s">
        <v>66</v>
      </c>
      <c r="Z505" s="99" t="str">
        <f t="shared" ca="1" si="38"/>
        <v/>
      </c>
      <c r="AA505" s="101" t="str">
        <f t="shared" ca="1" si="39"/>
        <v/>
      </c>
    </row>
    <row r="506" spans="2:27" ht="27.6" customHeight="1">
      <c r="B506">
        <f t="shared" ca="1" si="35"/>
        <v>0</v>
      </c>
      <c r="C506" t="s">
        <v>36</v>
      </c>
      <c r="G506" s="75">
        <v>1</v>
      </c>
      <c r="J506" s="66" t="str">
        <f t="shared" ca="1" si="36"/>
        <v>14%</v>
      </c>
      <c r="K506" t="s">
        <v>59</v>
      </c>
      <c r="L506" s="66" t="str">
        <f t="shared" ca="1" si="37"/>
        <v>Sin costo</v>
      </c>
      <c r="M506" t="s">
        <v>64</v>
      </c>
      <c r="N506" t="s">
        <v>66</v>
      </c>
      <c r="O506" t="s">
        <v>66</v>
      </c>
      <c r="P506" t="s">
        <v>66</v>
      </c>
      <c r="R506" t="s">
        <v>66</v>
      </c>
      <c r="U506" t="s">
        <v>90</v>
      </c>
      <c r="V506" t="s">
        <v>66</v>
      </c>
      <c r="W506" t="s">
        <v>66</v>
      </c>
      <c r="X506" t="s">
        <v>66</v>
      </c>
      <c r="Y506" t="s">
        <v>66</v>
      </c>
      <c r="Z506" s="99" t="str">
        <f t="shared" ca="1" si="38"/>
        <v/>
      </c>
      <c r="AA506" s="101" t="str">
        <f t="shared" ca="1" si="39"/>
        <v/>
      </c>
    </row>
    <row r="507" spans="2:27" ht="27.6" customHeight="1">
      <c r="B507">
        <f t="shared" ca="1" si="35"/>
        <v>0</v>
      </c>
      <c r="C507" t="s">
        <v>36</v>
      </c>
      <c r="G507" s="75">
        <v>1</v>
      </c>
      <c r="J507" s="66" t="str">
        <f t="shared" ca="1" si="36"/>
        <v>14%</v>
      </c>
      <c r="K507" t="s">
        <v>59</v>
      </c>
      <c r="L507" s="66" t="str">
        <f t="shared" ca="1" si="37"/>
        <v>Sin costo</v>
      </c>
      <c r="M507" t="s">
        <v>64</v>
      </c>
      <c r="N507" t="s">
        <v>66</v>
      </c>
      <c r="O507" t="s">
        <v>66</v>
      </c>
      <c r="P507" t="s">
        <v>66</v>
      </c>
      <c r="R507" t="s">
        <v>66</v>
      </c>
      <c r="U507" t="s">
        <v>90</v>
      </c>
      <c r="V507" t="s">
        <v>66</v>
      </c>
      <c r="W507" t="s">
        <v>66</v>
      </c>
      <c r="X507" t="s">
        <v>66</v>
      </c>
      <c r="Y507" t="s">
        <v>66</v>
      </c>
      <c r="Z507" s="99" t="str">
        <f t="shared" ca="1" si="38"/>
        <v/>
      </c>
      <c r="AA507" s="101" t="str">
        <f t="shared" ca="1" si="39"/>
        <v/>
      </c>
    </row>
    <row r="508" spans="2:27" ht="27.6" customHeight="1">
      <c r="B508">
        <f t="shared" ca="1" si="35"/>
        <v>0</v>
      </c>
      <c r="C508" t="s">
        <v>36</v>
      </c>
      <c r="G508" s="75">
        <v>1</v>
      </c>
      <c r="J508" s="66" t="str">
        <f t="shared" ca="1" si="36"/>
        <v>14%</v>
      </c>
      <c r="K508" t="s">
        <v>59</v>
      </c>
      <c r="L508" s="66" t="str">
        <f t="shared" ca="1" si="37"/>
        <v>Sin costo</v>
      </c>
      <c r="M508" t="s">
        <v>64</v>
      </c>
      <c r="N508" t="s">
        <v>66</v>
      </c>
      <c r="O508" t="s">
        <v>66</v>
      </c>
      <c r="P508" t="s">
        <v>66</v>
      </c>
      <c r="R508" t="s">
        <v>66</v>
      </c>
      <c r="U508" t="s">
        <v>90</v>
      </c>
      <c r="V508" t="s">
        <v>66</v>
      </c>
      <c r="W508" t="s">
        <v>66</v>
      </c>
      <c r="X508" t="s">
        <v>66</v>
      </c>
      <c r="Y508" t="s">
        <v>66</v>
      </c>
      <c r="Z508" s="99" t="str">
        <f t="shared" ca="1" si="38"/>
        <v/>
      </c>
      <c r="AA508" s="101" t="str">
        <f t="shared" ca="1" si="39"/>
        <v/>
      </c>
    </row>
    <row r="509" spans="2:27" ht="27.6" customHeight="1">
      <c r="B509">
        <f t="shared" ca="1" si="35"/>
        <v>0</v>
      </c>
      <c r="C509" t="s">
        <v>36</v>
      </c>
      <c r="G509" s="75">
        <v>1</v>
      </c>
      <c r="J509" s="66" t="str">
        <f t="shared" ca="1" si="36"/>
        <v>14%</v>
      </c>
      <c r="K509" t="s">
        <v>59</v>
      </c>
      <c r="L509" s="66" t="str">
        <f t="shared" ca="1" si="37"/>
        <v>Sin costo</v>
      </c>
      <c r="M509" t="s">
        <v>64</v>
      </c>
      <c r="N509" t="s">
        <v>66</v>
      </c>
      <c r="O509" t="s">
        <v>66</v>
      </c>
      <c r="P509" t="s">
        <v>66</v>
      </c>
      <c r="R509" t="s">
        <v>66</v>
      </c>
      <c r="U509" t="s">
        <v>90</v>
      </c>
      <c r="V509" t="s">
        <v>66</v>
      </c>
      <c r="W509" t="s">
        <v>66</v>
      </c>
      <c r="X509" t="s">
        <v>66</v>
      </c>
      <c r="Y509" t="s">
        <v>66</v>
      </c>
      <c r="Z509" s="99" t="str">
        <f t="shared" ca="1" si="38"/>
        <v/>
      </c>
      <c r="AA509" s="101" t="str">
        <f t="shared" ca="1" si="39"/>
        <v/>
      </c>
    </row>
    <row r="510" spans="2:27" ht="27.6" customHeight="1">
      <c r="B510">
        <f t="shared" ca="1" si="35"/>
        <v>0</v>
      </c>
      <c r="C510" t="s">
        <v>36</v>
      </c>
      <c r="G510" s="75">
        <v>1</v>
      </c>
      <c r="J510" s="66" t="str">
        <f t="shared" ca="1" si="36"/>
        <v>14%</v>
      </c>
      <c r="K510" t="s">
        <v>59</v>
      </c>
      <c r="L510" s="66" t="str">
        <f t="shared" ca="1" si="37"/>
        <v>Sin costo</v>
      </c>
      <c r="M510" t="s">
        <v>64</v>
      </c>
      <c r="N510" t="s">
        <v>66</v>
      </c>
      <c r="O510" t="s">
        <v>66</v>
      </c>
      <c r="P510" t="s">
        <v>66</v>
      </c>
      <c r="R510" t="s">
        <v>66</v>
      </c>
      <c r="U510" t="s">
        <v>90</v>
      </c>
      <c r="V510" t="s">
        <v>66</v>
      </c>
      <c r="W510" t="s">
        <v>66</v>
      </c>
      <c r="X510" t="s">
        <v>66</v>
      </c>
      <c r="Y510" t="s">
        <v>66</v>
      </c>
      <c r="Z510" s="99" t="str">
        <f t="shared" ca="1" si="38"/>
        <v/>
      </c>
      <c r="AA510" s="101" t="str">
        <f t="shared" ca="1" si="39"/>
        <v/>
      </c>
    </row>
    <row r="511" spans="2:27" ht="27.6" customHeight="1">
      <c r="B511">
        <f t="shared" ca="1" si="35"/>
        <v>0</v>
      </c>
      <c r="C511" t="s">
        <v>36</v>
      </c>
      <c r="G511" s="75">
        <v>1</v>
      </c>
      <c r="J511" s="66" t="str">
        <f t="shared" ca="1" si="36"/>
        <v>14%</v>
      </c>
      <c r="K511" t="s">
        <v>59</v>
      </c>
      <c r="L511" s="66" t="str">
        <f t="shared" ca="1" si="37"/>
        <v>Sin costo</v>
      </c>
      <c r="M511" t="s">
        <v>64</v>
      </c>
      <c r="N511" t="s">
        <v>66</v>
      </c>
      <c r="O511" t="s">
        <v>66</v>
      </c>
      <c r="P511" t="s">
        <v>66</v>
      </c>
      <c r="R511" t="s">
        <v>66</v>
      </c>
      <c r="U511" t="s">
        <v>90</v>
      </c>
      <c r="V511" t="s">
        <v>66</v>
      </c>
      <c r="W511" t="s">
        <v>66</v>
      </c>
      <c r="X511" t="s">
        <v>66</v>
      </c>
      <c r="Y511" t="s">
        <v>66</v>
      </c>
      <c r="Z511" s="99" t="str">
        <f t="shared" ca="1" si="38"/>
        <v/>
      </c>
      <c r="AA511" s="101" t="str">
        <f t="shared" ca="1" si="39"/>
        <v/>
      </c>
    </row>
    <row r="512" spans="2:27" ht="27.6" customHeight="1">
      <c r="B512">
        <f t="shared" ca="1" si="35"/>
        <v>0</v>
      </c>
      <c r="C512" t="s">
        <v>36</v>
      </c>
      <c r="G512" s="75">
        <v>1</v>
      </c>
      <c r="J512" s="66" t="str">
        <f t="shared" ca="1" si="36"/>
        <v>14%</v>
      </c>
      <c r="K512" t="s">
        <v>59</v>
      </c>
      <c r="L512" s="66" t="str">
        <f t="shared" ca="1" si="37"/>
        <v>Sin costo</v>
      </c>
      <c r="M512" t="s">
        <v>64</v>
      </c>
      <c r="N512" t="s">
        <v>66</v>
      </c>
      <c r="O512" t="s">
        <v>66</v>
      </c>
      <c r="P512" t="s">
        <v>66</v>
      </c>
      <c r="R512" t="s">
        <v>66</v>
      </c>
      <c r="U512" t="s">
        <v>90</v>
      </c>
      <c r="V512" t="s">
        <v>66</v>
      </c>
      <c r="W512" t="s">
        <v>66</v>
      </c>
      <c r="X512" t="s">
        <v>66</v>
      </c>
      <c r="Y512" t="s">
        <v>66</v>
      </c>
      <c r="Z512" s="99" t="str">
        <f t="shared" ca="1" si="38"/>
        <v/>
      </c>
      <c r="AA512" s="101" t="str">
        <f t="shared" ca="1" si="39"/>
        <v/>
      </c>
    </row>
    <row r="513" spans="2:27" ht="27.6" customHeight="1">
      <c r="B513">
        <f t="shared" ca="1" si="35"/>
        <v>0</v>
      </c>
      <c r="C513" t="s">
        <v>36</v>
      </c>
      <c r="G513" s="75">
        <v>1</v>
      </c>
      <c r="J513" s="66" t="str">
        <f t="shared" ca="1" si="36"/>
        <v>14%</v>
      </c>
      <c r="K513" t="s">
        <v>59</v>
      </c>
      <c r="L513" s="66" t="str">
        <f t="shared" ca="1" si="37"/>
        <v>Sin costo</v>
      </c>
      <c r="M513" t="s">
        <v>64</v>
      </c>
      <c r="N513" t="s">
        <v>66</v>
      </c>
      <c r="O513" t="s">
        <v>66</v>
      </c>
      <c r="P513" t="s">
        <v>66</v>
      </c>
      <c r="R513" t="s">
        <v>66</v>
      </c>
      <c r="U513" t="s">
        <v>90</v>
      </c>
      <c r="V513" t="s">
        <v>66</v>
      </c>
      <c r="W513" t="s">
        <v>66</v>
      </c>
      <c r="X513" t="s">
        <v>66</v>
      </c>
      <c r="Y513" t="s">
        <v>66</v>
      </c>
      <c r="Z513" s="99" t="str">
        <f t="shared" ca="1" si="38"/>
        <v/>
      </c>
      <c r="AA513" s="101" t="str">
        <f t="shared" ca="1" si="39"/>
        <v/>
      </c>
    </row>
    <row r="514" spans="2:27" ht="27.6" customHeight="1">
      <c r="B514">
        <f t="shared" ca="1" si="35"/>
        <v>0</v>
      </c>
      <c r="C514" t="s">
        <v>36</v>
      </c>
      <c r="G514" s="75">
        <v>1</v>
      </c>
      <c r="J514" s="66" t="str">
        <f t="shared" ca="1" si="36"/>
        <v>14%</v>
      </c>
      <c r="K514" t="s">
        <v>59</v>
      </c>
      <c r="L514" s="66" t="str">
        <f t="shared" ca="1" si="37"/>
        <v>Sin costo</v>
      </c>
      <c r="M514" t="s">
        <v>64</v>
      </c>
      <c r="N514" t="s">
        <v>66</v>
      </c>
      <c r="O514" t="s">
        <v>66</v>
      </c>
      <c r="P514" t="s">
        <v>66</v>
      </c>
      <c r="R514" t="s">
        <v>66</v>
      </c>
      <c r="U514" t="s">
        <v>90</v>
      </c>
      <c r="V514" t="s">
        <v>66</v>
      </c>
      <c r="W514" t="s">
        <v>66</v>
      </c>
      <c r="X514" t="s">
        <v>66</v>
      </c>
      <c r="Y514" t="s">
        <v>66</v>
      </c>
      <c r="Z514" s="99" t="str">
        <f t="shared" ca="1" si="38"/>
        <v/>
      </c>
      <c r="AA514" s="101" t="str">
        <f t="shared" ca="1" si="39"/>
        <v/>
      </c>
    </row>
    <row r="515" spans="2:27" ht="27.6" customHeight="1">
      <c r="B515">
        <f t="shared" ca="1" si="35"/>
        <v>0</v>
      </c>
      <c r="C515" t="s">
        <v>36</v>
      </c>
      <c r="G515" s="75">
        <v>1</v>
      </c>
      <c r="J515" s="66" t="str">
        <f t="shared" ca="1" si="36"/>
        <v>14%</v>
      </c>
      <c r="K515" t="s">
        <v>59</v>
      </c>
      <c r="L515" s="66" t="str">
        <f t="shared" ca="1" si="37"/>
        <v>Sin costo</v>
      </c>
      <c r="M515" t="s">
        <v>64</v>
      </c>
      <c r="N515" t="s">
        <v>66</v>
      </c>
      <c r="O515" t="s">
        <v>66</v>
      </c>
      <c r="P515" t="s">
        <v>66</v>
      </c>
      <c r="R515" t="s">
        <v>66</v>
      </c>
      <c r="U515" t="s">
        <v>90</v>
      </c>
      <c r="V515" t="s">
        <v>66</v>
      </c>
      <c r="W515" t="s">
        <v>66</v>
      </c>
      <c r="X515" t="s">
        <v>66</v>
      </c>
      <c r="Y515" t="s">
        <v>66</v>
      </c>
      <c r="Z515" s="99" t="str">
        <f t="shared" ca="1" si="38"/>
        <v/>
      </c>
      <c r="AA515" s="101" t="str">
        <f t="shared" ca="1" si="39"/>
        <v/>
      </c>
    </row>
    <row r="516" spans="2:27" ht="27.6" customHeight="1">
      <c r="B516">
        <f t="shared" ca="1" si="35"/>
        <v>0</v>
      </c>
      <c r="C516" t="s">
        <v>36</v>
      </c>
      <c r="G516" s="75">
        <v>1</v>
      </c>
      <c r="J516" s="66" t="str">
        <f t="shared" ca="1" si="36"/>
        <v>14%</v>
      </c>
      <c r="K516" t="s">
        <v>59</v>
      </c>
      <c r="L516" s="66" t="str">
        <f t="shared" ca="1" si="37"/>
        <v>Sin costo</v>
      </c>
      <c r="M516" t="s">
        <v>64</v>
      </c>
      <c r="N516" t="s">
        <v>66</v>
      </c>
      <c r="O516" t="s">
        <v>66</v>
      </c>
      <c r="P516" t="s">
        <v>66</v>
      </c>
      <c r="R516" t="s">
        <v>66</v>
      </c>
      <c r="U516" t="s">
        <v>90</v>
      </c>
      <c r="V516" t="s">
        <v>66</v>
      </c>
      <c r="W516" t="s">
        <v>66</v>
      </c>
      <c r="X516" t="s">
        <v>66</v>
      </c>
      <c r="Y516" t="s">
        <v>66</v>
      </c>
      <c r="Z516" s="99" t="str">
        <f t="shared" ca="1" si="38"/>
        <v/>
      </c>
      <c r="AA516" s="101" t="str">
        <f t="shared" ca="1" si="39"/>
        <v/>
      </c>
    </row>
    <row r="517" spans="2:27" ht="27.6" customHeight="1">
      <c r="B517">
        <f t="shared" ca="1" si="35"/>
        <v>0</v>
      </c>
      <c r="C517" t="s">
        <v>36</v>
      </c>
      <c r="G517" s="75">
        <v>1</v>
      </c>
      <c r="J517" s="66" t="str">
        <f t="shared" ca="1" si="36"/>
        <v>14%</v>
      </c>
      <c r="K517" t="s">
        <v>59</v>
      </c>
      <c r="L517" s="66" t="str">
        <f t="shared" ca="1" si="37"/>
        <v>Sin costo</v>
      </c>
      <c r="M517" t="s">
        <v>64</v>
      </c>
      <c r="N517" t="s">
        <v>66</v>
      </c>
      <c r="O517" t="s">
        <v>66</v>
      </c>
      <c r="P517" t="s">
        <v>66</v>
      </c>
      <c r="R517" t="s">
        <v>66</v>
      </c>
      <c r="U517" t="s">
        <v>90</v>
      </c>
      <c r="V517" t="s">
        <v>66</v>
      </c>
      <c r="W517" t="s">
        <v>66</v>
      </c>
      <c r="X517" t="s">
        <v>66</v>
      </c>
      <c r="Y517" t="s">
        <v>66</v>
      </c>
      <c r="Z517" s="99" t="str">
        <f t="shared" ca="1" si="38"/>
        <v/>
      </c>
      <c r="AA517" s="101" t="str">
        <f t="shared" ca="1" si="39"/>
        <v/>
      </c>
    </row>
    <row r="518" spans="2:27" ht="27.6" customHeight="1">
      <c r="B518">
        <f t="shared" ca="1" si="35"/>
        <v>0</v>
      </c>
      <c r="C518" t="s">
        <v>36</v>
      </c>
      <c r="G518" s="75">
        <v>1</v>
      </c>
      <c r="J518" s="66" t="str">
        <f t="shared" ca="1" si="36"/>
        <v>14%</v>
      </c>
      <c r="K518" t="s">
        <v>59</v>
      </c>
      <c r="L518" s="66" t="str">
        <f t="shared" ca="1" si="37"/>
        <v>Sin costo</v>
      </c>
      <c r="M518" t="s">
        <v>64</v>
      </c>
      <c r="N518" t="s">
        <v>66</v>
      </c>
      <c r="O518" t="s">
        <v>66</v>
      </c>
      <c r="P518" t="s">
        <v>66</v>
      </c>
      <c r="R518" t="s">
        <v>66</v>
      </c>
      <c r="U518" t="s">
        <v>90</v>
      </c>
      <c r="V518" t="s">
        <v>66</v>
      </c>
      <c r="W518" t="s">
        <v>66</v>
      </c>
      <c r="X518" t="s">
        <v>66</v>
      </c>
      <c r="Y518" t="s">
        <v>66</v>
      </c>
      <c r="Z518" s="99" t="str">
        <f t="shared" ca="1" si="38"/>
        <v/>
      </c>
      <c r="AA518" s="101" t="str">
        <f t="shared" ca="1" si="39"/>
        <v/>
      </c>
    </row>
    <row r="519" spans="2:27" ht="27.6" customHeight="1">
      <c r="B519">
        <f t="shared" ref="B519:B582" ca="1" si="40">LEN(INDIRECT(ADDRESS(ROW() + (0),COLUMN() + (-1))))</f>
        <v>0</v>
      </c>
      <c r="C519" t="s">
        <v>36</v>
      </c>
      <c r="G519" s="75">
        <v>1</v>
      </c>
      <c r="J519" s="66" t="str">
        <f t="shared" ref="J519:J582" ca="1" si="41">IF(INDIRECT(ADDRESS(ROW() + (0),COLUMN() + (1)))="Agregar cuotas", IF(("14%")="", "-", "14%"), IF(INDIRECT(ADDRESS(ROW() + (0),COLUMN() + (1)))="No agregar cuotas", IF(("14%")="", "-", "14%"), "-"))</f>
        <v>14%</v>
      </c>
      <c r="K519" t="s">
        <v>59</v>
      </c>
      <c r="L519" s="66" t="str">
        <f t="shared" ref="L519:L582" ca="1" si="42">IF(INDIRECT(ADDRESS(ROW() + (0),COLUMN() + (-1)))="Agregar cuotas", IF(("13.9%")="", "Sin costo", "13.9%"), IF(INDIRECT(ADDRESS(ROW() + (0),COLUMN() + (-1)))="No agregar cuotas", IF(("")="", "Sin costo", ""), "-"))</f>
        <v>Sin costo</v>
      </c>
      <c r="M519" t="s">
        <v>64</v>
      </c>
      <c r="N519" t="s">
        <v>66</v>
      </c>
      <c r="O519" t="s">
        <v>66</v>
      </c>
      <c r="P519" t="s">
        <v>66</v>
      </c>
      <c r="R519" t="s">
        <v>66</v>
      </c>
      <c r="U519" t="s">
        <v>90</v>
      </c>
      <c r="V519" t="s">
        <v>66</v>
      </c>
      <c r="W519" t="s">
        <v>66</v>
      </c>
      <c r="X519" t="s">
        <v>66</v>
      </c>
      <c r="Y519" t="s">
        <v>66</v>
      </c>
      <c r="Z519" s="99" t="str">
        <f t="shared" ref="Z519:Z582" ca="1" si="4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519" s="101" t="str">
        <f t="shared" ref="AA519:AA582" ca="1" si="44">IF(TRIM(INDIRECT("A"&amp;ROW())) &lt;&gt; "",FALSE,"")</f>
        <v/>
      </c>
    </row>
    <row r="520" spans="2:27" ht="27.6" customHeight="1">
      <c r="B520">
        <f t="shared" ca="1" si="40"/>
        <v>0</v>
      </c>
      <c r="C520" t="s">
        <v>36</v>
      </c>
      <c r="G520" s="75">
        <v>1</v>
      </c>
      <c r="J520" s="66" t="str">
        <f t="shared" ca="1" si="41"/>
        <v>14%</v>
      </c>
      <c r="K520" t="s">
        <v>59</v>
      </c>
      <c r="L520" s="66" t="str">
        <f t="shared" ca="1" si="42"/>
        <v>Sin costo</v>
      </c>
      <c r="M520" t="s">
        <v>64</v>
      </c>
      <c r="N520" t="s">
        <v>66</v>
      </c>
      <c r="O520" t="s">
        <v>66</v>
      </c>
      <c r="P520" t="s">
        <v>66</v>
      </c>
      <c r="R520" t="s">
        <v>66</v>
      </c>
      <c r="U520" t="s">
        <v>90</v>
      </c>
      <c r="V520" t="s">
        <v>66</v>
      </c>
      <c r="W520" t="s">
        <v>66</v>
      </c>
      <c r="X520" t="s">
        <v>66</v>
      </c>
      <c r="Y520" t="s">
        <v>66</v>
      </c>
      <c r="Z520" s="99" t="str">
        <f t="shared" ca="1" si="43"/>
        <v/>
      </c>
      <c r="AA520" s="101" t="str">
        <f t="shared" ca="1" si="44"/>
        <v/>
      </c>
    </row>
    <row r="521" spans="2:27" ht="27.6" customHeight="1">
      <c r="B521">
        <f t="shared" ca="1" si="40"/>
        <v>0</v>
      </c>
      <c r="C521" t="s">
        <v>36</v>
      </c>
      <c r="G521" s="75">
        <v>1</v>
      </c>
      <c r="J521" s="66" t="str">
        <f t="shared" ca="1" si="41"/>
        <v>14%</v>
      </c>
      <c r="K521" t="s">
        <v>59</v>
      </c>
      <c r="L521" s="66" t="str">
        <f t="shared" ca="1" si="42"/>
        <v>Sin costo</v>
      </c>
      <c r="M521" t="s">
        <v>64</v>
      </c>
      <c r="N521" t="s">
        <v>66</v>
      </c>
      <c r="O521" t="s">
        <v>66</v>
      </c>
      <c r="P521" t="s">
        <v>66</v>
      </c>
      <c r="R521" t="s">
        <v>66</v>
      </c>
      <c r="U521" t="s">
        <v>90</v>
      </c>
      <c r="V521" t="s">
        <v>66</v>
      </c>
      <c r="W521" t="s">
        <v>66</v>
      </c>
      <c r="X521" t="s">
        <v>66</v>
      </c>
      <c r="Y521" t="s">
        <v>66</v>
      </c>
      <c r="Z521" s="99" t="str">
        <f t="shared" ca="1" si="43"/>
        <v/>
      </c>
      <c r="AA521" s="101" t="str">
        <f t="shared" ca="1" si="44"/>
        <v/>
      </c>
    </row>
    <row r="522" spans="2:27" ht="27.6" customHeight="1">
      <c r="B522">
        <f t="shared" ca="1" si="40"/>
        <v>0</v>
      </c>
      <c r="C522" t="s">
        <v>36</v>
      </c>
      <c r="G522" s="75">
        <v>1</v>
      </c>
      <c r="J522" s="66" t="str">
        <f t="shared" ca="1" si="41"/>
        <v>14%</v>
      </c>
      <c r="K522" t="s">
        <v>59</v>
      </c>
      <c r="L522" s="66" t="str">
        <f t="shared" ca="1" si="42"/>
        <v>Sin costo</v>
      </c>
      <c r="M522" t="s">
        <v>64</v>
      </c>
      <c r="N522" t="s">
        <v>66</v>
      </c>
      <c r="O522" t="s">
        <v>66</v>
      </c>
      <c r="P522" t="s">
        <v>66</v>
      </c>
      <c r="R522" t="s">
        <v>66</v>
      </c>
      <c r="U522" t="s">
        <v>90</v>
      </c>
      <c r="V522" t="s">
        <v>66</v>
      </c>
      <c r="W522" t="s">
        <v>66</v>
      </c>
      <c r="X522" t="s">
        <v>66</v>
      </c>
      <c r="Y522" t="s">
        <v>66</v>
      </c>
      <c r="Z522" s="99" t="str">
        <f t="shared" ca="1" si="43"/>
        <v/>
      </c>
      <c r="AA522" s="101" t="str">
        <f t="shared" ca="1" si="44"/>
        <v/>
      </c>
    </row>
    <row r="523" spans="2:27" ht="27.6" customHeight="1">
      <c r="B523">
        <f t="shared" ca="1" si="40"/>
        <v>0</v>
      </c>
      <c r="C523" t="s">
        <v>36</v>
      </c>
      <c r="G523" s="75">
        <v>1</v>
      </c>
      <c r="J523" s="66" t="str">
        <f t="shared" ca="1" si="41"/>
        <v>14%</v>
      </c>
      <c r="K523" t="s">
        <v>59</v>
      </c>
      <c r="L523" s="66" t="str">
        <f t="shared" ca="1" si="42"/>
        <v>Sin costo</v>
      </c>
      <c r="M523" t="s">
        <v>64</v>
      </c>
      <c r="N523" t="s">
        <v>66</v>
      </c>
      <c r="O523" t="s">
        <v>66</v>
      </c>
      <c r="P523" t="s">
        <v>66</v>
      </c>
      <c r="R523" t="s">
        <v>66</v>
      </c>
      <c r="U523" t="s">
        <v>90</v>
      </c>
      <c r="V523" t="s">
        <v>66</v>
      </c>
      <c r="W523" t="s">
        <v>66</v>
      </c>
      <c r="X523" t="s">
        <v>66</v>
      </c>
      <c r="Y523" t="s">
        <v>66</v>
      </c>
      <c r="Z523" s="99" t="str">
        <f t="shared" ca="1" si="43"/>
        <v/>
      </c>
      <c r="AA523" s="101" t="str">
        <f t="shared" ca="1" si="44"/>
        <v/>
      </c>
    </row>
    <row r="524" spans="2:27" ht="27.6" customHeight="1">
      <c r="B524">
        <f t="shared" ca="1" si="40"/>
        <v>0</v>
      </c>
      <c r="C524" t="s">
        <v>36</v>
      </c>
      <c r="G524" s="75">
        <v>1</v>
      </c>
      <c r="J524" s="66" t="str">
        <f t="shared" ca="1" si="41"/>
        <v>14%</v>
      </c>
      <c r="K524" t="s">
        <v>59</v>
      </c>
      <c r="L524" s="66" t="str">
        <f t="shared" ca="1" si="42"/>
        <v>Sin costo</v>
      </c>
      <c r="M524" t="s">
        <v>64</v>
      </c>
      <c r="N524" t="s">
        <v>66</v>
      </c>
      <c r="O524" t="s">
        <v>66</v>
      </c>
      <c r="P524" t="s">
        <v>66</v>
      </c>
      <c r="R524" t="s">
        <v>66</v>
      </c>
      <c r="U524" t="s">
        <v>90</v>
      </c>
      <c r="V524" t="s">
        <v>66</v>
      </c>
      <c r="W524" t="s">
        <v>66</v>
      </c>
      <c r="X524" t="s">
        <v>66</v>
      </c>
      <c r="Y524" t="s">
        <v>66</v>
      </c>
      <c r="Z524" s="99" t="str">
        <f t="shared" ca="1" si="43"/>
        <v/>
      </c>
      <c r="AA524" s="101" t="str">
        <f t="shared" ca="1" si="44"/>
        <v/>
      </c>
    </row>
    <row r="525" spans="2:27" ht="27.6" customHeight="1">
      <c r="B525">
        <f t="shared" ca="1" si="40"/>
        <v>0</v>
      </c>
      <c r="C525" t="s">
        <v>36</v>
      </c>
      <c r="G525" s="75">
        <v>1</v>
      </c>
      <c r="J525" s="66" t="str">
        <f t="shared" ca="1" si="41"/>
        <v>14%</v>
      </c>
      <c r="K525" t="s">
        <v>59</v>
      </c>
      <c r="L525" s="66" t="str">
        <f t="shared" ca="1" si="42"/>
        <v>Sin costo</v>
      </c>
      <c r="M525" t="s">
        <v>64</v>
      </c>
      <c r="N525" t="s">
        <v>66</v>
      </c>
      <c r="O525" t="s">
        <v>66</v>
      </c>
      <c r="P525" t="s">
        <v>66</v>
      </c>
      <c r="R525" t="s">
        <v>66</v>
      </c>
      <c r="U525" t="s">
        <v>90</v>
      </c>
      <c r="V525" t="s">
        <v>66</v>
      </c>
      <c r="W525" t="s">
        <v>66</v>
      </c>
      <c r="X525" t="s">
        <v>66</v>
      </c>
      <c r="Y525" t="s">
        <v>66</v>
      </c>
      <c r="Z525" s="99" t="str">
        <f t="shared" ca="1" si="43"/>
        <v/>
      </c>
      <c r="AA525" s="101" t="str">
        <f t="shared" ca="1" si="44"/>
        <v/>
      </c>
    </row>
    <row r="526" spans="2:27" ht="27.6" customHeight="1">
      <c r="B526">
        <f t="shared" ca="1" si="40"/>
        <v>0</v>
      </c>
      <c r="C526" t="s">
        <v>36</v>
      </c>
      <c r="G526" s="75">
        <v>1</v>
      </c>
      <c r="J526" s="66" t="str">
        <f t="shared" ca="1" si="41"/>
        <v>14%</v>
      </c>
      <c r="K526" t="s">
        <v>59</v>
      </c>
      <c r="L526" s="66" t="str">
        <f t="shared" ca="1" si="42"/>
        <v>Sin costo</v>
      </c>
      <c r="M526" t="s">
        <v>64</v>
      </c>
      <c r="N526" t="s">
        <v>66</v>
      </c>
      <c r="O526" t="s">
        <v>66</v>
      </c>
      <c r="P526" t="s">
        <v>66</v>
      </c>
      <c r="R526" t="s">
        <v>66</v>
      </c>
      <c r="U526" t="s">
        <v>90</v>
      </c>
      <c r="V526" t="s">
        <v>66</v>
      </c>
      <c r="W526" t="s">
        <v>66</v>
      </c>
      <c r="X526" t="s">
        <v>66</v>
      </c>
      <c r="Y526" t="s">
        <v>66</v>
      </c>
      <c r="Z526" s="99" t="str">
        <f t="shared" ca="1" si="43"/>
        <v/>
      </c>
      <c r="AA526" s="101" t="str">
        <f t="shared" ca="1" si="44"/>
        <v/>
      </c>
    </row>
    <row r="527" spans="2:27" ht="27.6" customHeight="1">
      <c r="B527">
        <f t="shared" ca="1" si="40"/>
        <v>0</v>
      </c>
      <c r="C527" t="s">
        <v>36</v>
      </c>
      <c r="G527" s="75">
        <v>1</v>
      </c>
      <c r="J527" s="66" t="str">
        <f t="shared" ca="1" si="41"/>
        <v>14%</v>
      </c>
      <c r="K527" t="s">
        <v>59</v>
      </c>
      <c r="L527" s="66" t="str">
        <f t="shared" ca="1" si="42"/>
        <v>Sin costo</v>
      </c>
      <c r="M527" t="s">
        <v>64</v>
      </c>
      <c r="N527" t="s">
        <v>66</v>
      </c>
      <c r="O527" t="s">
        <v>66</v>
      </c>
      <c r="P527" t="s">
        <v>66</v>
      </c>
      <c r="R527" t="s">
        <v>66</v>
      </c>
      <c r="U527" t="s">
        <v>90</v>
      </c>
      <c r="V527" t="s">
        <v>66</v>
      </c>
      <c r="W527" t="s">
        <v>66</v>
      </c>
      <c r="X527" t="s">
        <v>66</v>
      </c>
      <c r="Y527" t="s">
        <v>66</v>
      </c>
      <c r="Z527" s="99" t="str">
        <f t="shared" ca="1" si="43"/>
        <v/>
      </c>
      <c r="AA527" s="101" t="str">
        <f t="shared" ca="1" si="44"/>
        <v/>
      </c>
    </row>
    <row r="528" spans="2:27" ht="27.6" customHeight="1">
      <c r="B528">
        <f t="shared" ca="1" si="40"/>
        <v>0</v>
      </c>
      <c r="C528" t="s">
        <v>36</v>
      </c>
      <c r="G528" s="75">
        <v>1</v>
      </c>
      <c r="J528" s="66" t="str">
        <f t="shared" ca="1" si="41"/>
        <v>14%</v>
      </c>
      <c r="K528" t="s">
        <v>59</v>
      </c>
      <c r="L528" s="66" t="str">
        <f t="shared" ca="1" si="42"/>
        <v>Sin costo</v>
      </c>
      <c r="M528" t="s">
        <v>64</v>
      </c>
      <c r="N528" t="s">
        <v>66</v>
      </c>
      <c r="O528" t="s">
        <v>66</v>
      </c>
      <c r="P528" t="s">
        <v>66</v>
      </c>
      <c r="R528" t="s">
        <v>66</v>
      </c>
      <c r="U528" t="s">
        <v>90</v>
      </c>
      <c r="V528" t="s">
        <v>66</v>
      </c>
      <c r="W528" t="s">
        <v>66</v>
      </c>
      <c r="X528" t="s">
        <v>66</v>
      </c>
      <c r="Y528" t="s">
        <v>66</v>
      </c>
      <c r="Z528" s="99" t="str">
        <f t="shared" ca="1" si="43"/>
        <v/>
      </c>
      <c r="AA528" s="101" t="str">
        <f t="shared" ca="1" si="44"/>
        <v/>
      </c>
    </row>
    <row r="529" spans="2:27" ht="27.6" customHeight="1">
      <c r="B529">
        <f t="shared" ca="1" si="40"/>
        <v>0</v>
      </c>
      <c r="C529" t="s">
        <v>36</v>
      </c>
      <c r="G529" s="75">
        <v>1</v>
      </c>
      <c r="J529" s="66" t="str">
        <f t="shared" ca="1" si="41"/>
        <v>14%</v>
      </c>
      <c r="K529" t="s">
        <v>59</v>
      </c>
      <c r="L529" s="66" t="str">
        <f t="shared" ca="1" si="42"/>
        <v>Sin costo</v>
      </c>
      <c r="M529" t="s">
        <v>64</v>
      </c>
      <c r="N529" t="s">
        <v>66</v>
      </c>
      <c r="O529" t="s">
        <v>66</v>
      </c>
      <c r="P529" t="s">
        <v>66</v>
      </c>
      <c r="R529" t="s">
        <v>66</v>
      </c>
      <c r="U529" t="s">
        <v>90</v>
      </c>
      <c r="V529" t="s">
        <v>66</v>
      </c>
      <c r="W529" t="s">
        <v>66</v>
      </c>
      <c r="X529" t="s">
        <v>66</v>
      </c>
      <c r="Y529" t="s">
        <v>66</v>
      </c>
      <c r="Z529" s="99" t="str">
        <f t="shared" ca="1" si="43"/>
        <v/>
      </c>
      <c r="AA529" s="101" t="str">
        <f t="shared" ca="1" si="44"/>
        <v/>
      </c>
    </row>
    <row r="530" spans="2:27" ht="27.6" customHeight="1">
      <c r="B530">
        <f t="shared" ca="1" si="40"/>
        <v>0</v>
      </c>
      <c r="C530" t="s">
        <v>36</v>
      </c>
      <c r="G530" s="75">
        <v>1</v>
      </c>
      <c r="J530" s="66" t="str">
        <f t="shared" ca="1" si="41"/>
        <v>14%</v>
      </c>
      <c r="K530" t="s">
        <v>59</v>
      </c>
      <c r="L530" s="66" t="str">
        <f t="shared" ca="1" si="42"/>
        <v>Sin costo</v>
      </c>
      <c r="M530" t="s">
        <v>64</v>
      </c>
      <c r="N530" t="s">
        <v>66</v>
      </c>
      <c r="O530" t="s">
        <v>66</v>
      </c>
      <c r="P530" t="s">
        <v>66</v>
      </c>
      <c r="R530" t="s">
        <v>66</v>
      </c>
      <c r="U530" t="s">
        <v>90</v>
      </c>
      <c r="V530" t="s">
        <v>66</v>
      </c>
      <c r="W530" t="s">
        <v>66</v>
      </c>
      <c r="X530" t="s">
        <v>66</v>
      </c>
      <c r="Y530" t="s">
        <v>66</v>
      </c>
      <c r="Z530" s="99" t="str">
        <f t="shared" ca="1" si="43"/>
        <v/>
      </c>
      <c r="AA530" s="101" t="str">
        <f t="shared" ca="1" si="44"/>
        <v/>
      </c>
    </row>
    <row r="531" spans="2:27" ht="27.6" customHeight="1">
      <c r="B531">
        <f t="shared" ca="1" si="40"/>
        <v>0</v>
      </c>
      <c r="C531" t="s">
        <v>36</v>
      </c>
      <c r="G531" s="75">
        <v>1</v>
      </c>
      <c r="J531" s="66" t="str">
        <f t="shared" ca="1" si="41"/>
        <v>14%</v>
      </c>
      <c r="K531" t="s">
        <v>59</v>
      </c>
      <c r="L531" s="66" t="str">
        <f t="shared" ca="1" si="42"/>
        <v>Sin costo</v>
      </c>
      <c r="M531" t="s">
        <v>64</v>
      </c>
      <c r="N531" t="s">
        <v>66</v>
      </c>
      <c r="O531" t="s">
        <v>66</v>
      </c>
      <c r="P531" t="s">
        <v>66</v>
      </c>
      <c r="R531" t="s">
        <v>66</v>
      </c>
      <c r="U531" t="s">
        <v>90</v>
      </c>
      <c r="V531" t="s">
        <v>66</v>
      </c>
      <c r="W531" t="s">
        <v>66</v>
      </c>
      <c r="X531" t="s">
        <v>66</v>
      </c>
      <c r="Y531" t="s">
        <v>66</v>
      </c>
      <c r="Z531" s="99" t="str">
        <f t="shared" ca="1" si="43"/>
        <v/>
      </c>
      <c r="AA531" s="101" t="str">
        <f t="shared" ca="1" si="44"/>
        <v/>
      </c>
    </row>
    <row r="532" spans="2:27" ht="27.6" customHeight="1">
      <c r="B532">
        <f t="shared" ca="1" si="40"/>
        <v>0</v>
      </c>
      <c r="C532" t="s">
        <v>36</v>
      </c>
      <c r="G532" s="75">
        <v>1</v>
      </c>
      <c r="J532" s="66" t="str">
        <f t="shared" ca="1" si="41"/>
        <v>14%</v>
      </c>
      <c r="K532" t="s">
        <v>59</v>
      </c>
      <c r="L532" s="66" t="str">
        <f t="shared" ca="1" si="42"/>
        <v>Sin costo</v>
      </c>
      <c r="M532" t="s">
        <v>64</v>
      </c>
      <c r="N532" t="s">
        <v>66</v>
      </c>
      <c r="O532" t="s">
        <v>66</v>
      </c>
      <c r="P532" t="s">
        <v>66</v>
      </c>
      <c r="R532" t="s">
        <v>66</v>
      </c>
      <c r="U532" t="s">
        <v>90</v>
      </c>
      <c r="V532" t="s">
        <v>66</v>
      </c>
      <c r="W532" t="s">
        <v>66</v>
      </c>
      <c r="X532" t="s">
        <v>66</v>
      </c>
      <c r="Y532" t="s">
        <v>66</v>
      </c>
      <c r="Z532" s="99" t="str">
        <f t="shared" ca="1" si="43"/>
        <v/>
      </c>
      <c r="AA532" s="101" t="str">
        <f t="shared" ca="1" si="44"/>
        <v/>
      </c>
    </row>
    <row r="533" spans="2:27" ht="27.6" customHeight="1">
      <c r="B533">
        <f t="shared" ca="1" si="40"/>
        <v>0</v>
      </c>
      <c r="C533" t="s">
        <v>36</v>
      </c>
      <c r="G533" s="75">
        <v>1</v>
      </c>
      <c r="J533" s="66" t="str">
        <f t="shared" ca="1" si="41"/>
        <v>14%</v>
      </c>
      <c r="K533" t="s">
        <v>59</v>
      </c>
      <c r="L533" s="66" t="str">
        <f t="shared" ca="1" si="42"/>
        <v>Sin costo</v>
      </c>
      <c r="M533" t="s">
        <v>64</v>
      </c>
      <c r="N533" t="s">
        <v>66</v>
      </c>
      <c r="O533" t="s">
        <v>66</v>
      </c>
      <c r="P533" t="s">
        <v>66</v>
      </c>
      <c r="R533" t="s">
        <v>66</v>
      </c>
      <c r="U533" t="s">
        <v>90</v>
      </c>
      <c r="V533" t="s">
        <v>66</v>
      </c>
      <c r="W533" t="s">
        <v>66</v>
      </c>
      <c r="X533" t="s">
        <v>66</v>
      </c>
      <c r="Y533" t="s">
        <v>66</v>
      </c>
      <c r="Z533" s="99" t="str">
        <f t="shared" ca="1" si="43"/>
        <v/>
      </c>
      <c r="AA533" s="101" t="str">
        <f t="shared" ca="1" si="44"/>
        <v/>
      </c>
    </row>
    <row r="534" spans="2:27" ht="27.6" customHeight="1">
      <c r="B534">
        <f t="shared" ca="1" si="40"/>
        <v>0</v>
      </c>
      <c r="C534" t="s">
        <v>36</v>
      </c>
      <c r="G534" s="75">
        <v>1</v>
      </c>
      <c r="J534" s="66" t="str">
        <f t="shared" ca="1" si="41"/>
        <v>14%</v>
      </c>
      <c r="K534" t="s">
        <v>59</v>
      </c>
      <c r="L534" s="66" t="str">
        <f t="shared" ca="1" si="42"/>
        <v>Sin costo</v>
      </c>
      <c r="M534" t="s">
        <v>64</v>
      </c>
      <c r="N534" t="s">
        <v>66</v>
      </c>
      <c r="O534" t="s">
        <v>66</v>
      </c>
      <c r="P534" t="s">
        <v>66</v>
      </c>
      <c r="R534" t="s">
        <v>66</v>
      </c>
      <c r="U534" t="s">
        <v>90</v>
      </c>
      <c r="V534" t="s">
        <v>66</v>
      </c>
      <c r="W534" t="s">
        <v>66</v>
      </c>
      <c r="X534" t="s">
        <v>66</v>
      </c>
      <c r="Y534" t="s">
        <v>66</v>
      </c>
      <c r="Z534" s="99" t="str">
        <f t="shared" ca="1" si="43"/>
        <v/>
      </c>
      <c r="AA534" s="101" t="str">
        <f t="shared" ca="1" si="44"/>
        <v/>
      </c>
    </row>
    <row r="535" spans="2:27" ht="27.6" customHeight="1">
      <c r="B535">
        <f t="shared" ca="1" si="40"/>
        <v>0</v>
      </c>
      <c r="C535" t="s">
        <v>36</v>
      </c>
      <c r="G535" s="75">
        <v>1</v>
      </c>
      <c r="J535" s="66" t="str">
        <f t="shared" ca="1" si="41"/>
        <v>14%</v>
      </c>
      <c r="K535" t="s">
        <v>59</v>
      </c>
      <c r="L535" s="66" t="str">
        <f t="shared" ca="1" si="42"/>
        <v>Sin costo</v>
      </c>
      <c r="M535" t="s">
        <v>64</v>
      </c>
      <c r="N535" t="s">
        <v>66</v>
      </c>
      <c r="O535" t="s">
        <v>66</v>
      </c>
      <c r="P535" t="s">
        <v>66</v>
      </c>
      <c r="R535" t="s">
        <v>66</v>
      </c>
      <c r="U535" t="s">
        <v>90</v>
      </c>
      <c r="V535" t="s">
        <v>66</v>
      </c>
      <c r="W535" t="s">
        <v>66</v>
      </c>
      <c r="X535" t="s">
        <v>66</v>
      </c>
      <c r="Y535" t="s">
        <v>66</v>
      </c>
      <c r="Z535" s="99" t="str">
        <f t="shared" ca="1" si="43"/>
        <v/>
      </c>
      <c r="AA535" s="101" t="str">
        <f t="shared" ca="1" si="44"/>
        <v/>
      </c>
    </row>
    <row r="536" spans="2:27" ht="27.6" customHeight="1">
      <c r="B536">
        <f t="shared" ca="1" si="40"/>
        <v>0</v>
      </c>
      <c r="C536" t="s">
        <v>36</v>
      </c>
      <c r="G536" s="75">
        <v>1</v>
      </c>
      <c r="J536" s="66" t="str">
        <f t="shared" ca="1" si="41"/>
        <v>14%</v>
      </c>
      <c r="K536" t="s">
        <v>59</v>
      </c>
      <c r="L536" s="66" t="str">
        <f t="shared" ca="1" si="42"/>
        <v>Sin costo</v>
      </c>
      <c r="M536" t="s">
        <v>64</v>
      </c>
      <c r="N536" t="s">
        <v>66</v>
      </c>
      <c r="O536" t="s">
        <v>66</v>
      </c>
      <c r="P536" t="s">
        <v>66</v>
      </c>
      <c r="R536" t="s">
        <v>66</v>
      </c>
      <c r="U536" t="s">
        <v>90</v>
      </c>
      <c r="V536" t="s">
        <v>66</v>
      </c>
      <c r="W536" t="s">
        <v>66</v>
      </c>
      <c r="X536" t="s">
        <v>66</v>
      </c>
      <c r="Y536" t="s">
        <v>66</v>
      </c>
      <c r="Z536" s="99" t="str">
        <f t="shared" ca="1" si="43"/>
        <v/>
      </c>
      <c r="AA536" s="101" t="str">
        <f t="shared" ca="1" si="44"/>
        <v/>
      </c>
    </row>
    <row r="537" spans="2:27" ht="27.6" customHeight="1">
      <c r="B537">
        <f t="shared" ca="1" si="40"/>
        <v>0</v>
      </c>
      <c r="C537" t="s">
        <v>36</v>
      </c>
      <c r="G537" s="75">
        <v>1</v>
      </c>
      <c r="J537" s="66" t="str">
        <f t="shared" ca="1" si="41"/>
        <v>14%</v>
      </c>
      <c r="K537" t="s">
        <v>59</v>
      </c>
      <c r="L537" s="66" t="str">
        <f t="shared" ca="1" si="42"/>
        <v>Sin costo</v>
      </c>
      <c r="M537" t="s">
        <v>64</v>
      </c>
      <c r="N537" t="s">
        <v>66</v>
      </c>
      <c r="O537" t="s">
        <v>66</v>
      </c>
      <c r="P537" t="s">
        <v>66</v>
      </c>
      <c r="R537" t="s">
        <v>66</v>
      </c>
      <c r="U537" t="s">
        <v>90</v>
      </c>
      <c r="V537" t="s">
        <v>66</v>
      </c>
      <c r="W537" t="s">
        <v>66</v>
      </c>
      <c r="X537" t="s">
        <v>66</v>
      </c>
      <c r="Y537" t="s">
        <v>66</v>
      </c>
      <c r="Z537" s="99" t="str">
        <f t="shared" ca="1" si="43"/>
        <v/>
      </c>
      <c r="AA537" s="101" t="str">
        <f t="shared" ca="1" si="44"/>
        <v/>
      </c>
    </row>
    <row r="538" spans="2:27" ht="27.6" customHeight="1">
      <c r="B538">
        <f t="shared" ca="1" si="40"/>
        <v>0</v>
      </c>
      <c r="C538" t="s">
        <v>36</v>
      </c>
      <c r="G538" s="75">
        <v>1</v>
      </c>
      <c r="J538" s="66" t="str">
        <f t="shared" ca="1" si="41"/>
        <v>14%</v>
      </c>
      <c r="K538" t="s">
        <v>59</v>
      </c>
      <c r="L538" s="66" t="str">
        <f t="shared" ca="1" si="42"/>
        <v>Sin costo</v>
      </c>
      <c r="M538" t="s">
        <v>64</v>
      </c>
      <c r="N538" t="s">
        <v>66</v>
      </c>
      <c r="O538" t="s">
        <v>66</v>
      </c>
      <c r="P538" t="s">
        <v>66</v>
      </c>
      <c r="R538" t="s">
        <v>66</v>
      </c>
      <c r="U538" t="s">
        <v>90</v>
      </c>
      <c r="V538" t="s">
        <v>66</v>
      </c>
      <c r="W538" t="s">
        <v>66</v>
      </c>
      <c r="X538" t="s">
        <v>66</v>
      </c>
      <c r="Y538" t="s">
        <v>66</v>
      </c>
      <c r="Z538" s="99" t="str">
        <f t="shared" ca="1" si="43"/>
        <v/>
      </c>
      <c r="AA538" s="101" t="str">
        <f t="shared" ca="1" si="44"/>
        <v/>
      </c>
    </row>
    <row r="539" spans="2:27" ht="27.6" customHeight="1">
      <c r="B539">
        <f t="shared" ca="1" si="40"/>
        <v>0</v>
      </c>
      <c r="C539" t="s">
        <v>36</v>
      </c>
      <c r="G539" s="75">
        <v>1</v>
      </c>
      <c r="J539" s="66" t="str">
        <f t="shared" ca="1" si="41"/>
        <v>14%</v>
      </c>
      <c r="K539" t="s">
        <v>59</v>
      </c>
      <c r="L539" s="66" t="str">
        <f t="shared" ca="1" si="42"/>
        <v>Sin costo</v>
      </c>
      <c r="M539" t="s">
        <v>64</v>
      </c>
      <c r="N539" t="s">
        <v>66</v>
      </c>
      <c r="O539" t="s">
        <v>66</v>
      </c>
      <c r="P539" t="s">
        <v>66</v>
      </c>
      <c r="R539" t="s">
        <v>66</v>
      </c>
      <c r="U539" t="s">
        <v>90</v>
      </c>
      <c r="V539" t="s">
        <v>66</v>
      </c>
      <c r="W539" t="s">
        <v>66</v>
      </c>
      <c r="X539" t="s">
        <v>66</v>
      </c>
      <c r="Y539" t="s">
        <v>66</v>
      </c>
      <c r="Z539" s="99" t="str">
        <f t="shared" ca="1" si="43"/>
        <v/>
      </c>
      <c r="AA539" s="101" t="str">
        <f t="shared" ca="1" si="44"/>
        <v/>
      </c>
    </row>
    <row r="540" spans="2:27" ht="27.6" customHeight="1">
      <c r="B540">
        <f t="shared" ca="1" si="40"/>
        <v>0</v>
      </c>
      <c r="C540" t="s">
        <v>36</v>
      </c>
      <c r="G540" s="75">
        <v>1</v>
      </c>
      <c r="J540" s="66" t="str">
        <f t="shared" ca="1" si="41"/>
        <v>14%</v>
      </c>
      <c r="K540" t="s">
        <v>59</v>
      </c>
      <c r="L540" s="66" t="str">
        <f t="shared" ca="1" si="42"/>
        <v>Sin costo</v>
      </c>
      <c r="M540" t="s">
        <v>64</v>
      </c>
      <c r="N540" t="s">
        <v>66</v>
      </c>
      <c r="O540" t="s">
        <v>66</v>
      </c>
      <c r="P540" t="s">
        <v>66</v>
      </c>
      <c r="R540" t="s">
        <v>66</v>
      </c>
      <c r="U540" t="s">
        <v>90</v>
      </c>
      <c r="V540" t="s">
        <v>66</v>
      </c>
      <c r="W540" t="s">
        <v>66</v>
      </c>
      <c r="X540" t="s">
        <v>66</v>
      </c>
      <c r="Y540" t="s">
        <v>66</v>
      </c>
      <c r="Z540" s="99" t="str">
        <f t="shared" ca="1" si="43"/>
        <v/>
      </c>
      <c r="AA540" s="101" t="str">
        <f t="shared" ca="1" si="44"/>
        <v/>
      </c>
    </row>
    <row r="541" spans="2:27" ht="27.6" customHeight="1">
      <c r="B541">
        <f t="shared" ca="1" si="40"/>
        <v>0</v>
      </c>
      <c r="C541" t="s">
        <v>36</v>
      </c>
      <c r="G541" s="75">
        <v>1</v>
      </c>
      <c r="J541" s="66" t="str">
        <f t="shared" ca="1" si="41"/>
        <v>14%</v>
      </c>
      <c r="K541" t="s">
        <v>59</v>
      </c>
      <c r="L541" s="66" t="str">
        <f t="shared" ca="1" si="42"/>
        <v>Sin costo</v>
      </c>
      <c r="M541" t="s">
        <v>64</v>
      </c>
      <c r="N541" t="s">
        <v>66</v>
      </c>
      <c r="O541" t="s">
        <v>66</v>
      </c>
      <c r="P541" t="s">
        <v>66</v>
      </c>
      <c r="R541" t="s">
        <v>66</v>
      </c>
      <c r="U541" t="s">
        <v>90</v>
      </c>
      <c r="V541" t="s">
        <v>66</v>
      </c>
      <c r="W541" t="s">
        <v>66</v>
      </c>
      <c r="X541" t="s">
        <v>66</v>
      </c>
      <c r="Y541" t="s">
        <v>66</v>
      </c>
      <c r="Z541" s="99" t="str">
        <f t="shared" ca="1" si="43"/>
        <v/>
      </c>
      <c r="AA541" s="101" t="str">
        <f t="shared" ca="1" si="44"/>
        <v/>
      </c>
    </row>
    <row r="542" spans="2:27" ht="27.6" customHeight="1">
      <c r="B542">
        <f t="shared" ca="1" si="40"/>
        <v>0</v>
      </c>
      <c r="C542" t="s">
        <v>36</v>
      </c>
      <c r="G542" s="75">
        <v>1</v>
      </c>
      <c r="J542" s="66" t="str">
        <f t="shared" ca="1" si="41"/>
        <v>14%</v>
      </c>
      <c r="K542" t="s">
        <v>59</v>
      </c>
      <c r="L542" s="66" t="str">
        <f t="shared" ca="1" si="42"/>
        <v>Sin costo</v>
      </c>
      <c r="M542" t="s">
        <v>64</v>
      </c>
      <c r="N542" t="s">
        <v>66</v>
      </c>
      <c r="O542" t="s">
        <v>66</v>
      </c>
      <c r="P542" t="s">
        <v>66</v>
      </c>
      <c r="R542" t="s">
        <v>66</v>
      </c>
      <c r="U542" t="s">
        <v>90</v>
      </c>
      <c r="V542" t="s">
        <v>66</v>
      </c>
      <c r="W542" t="s">
        <v>66</v>
      </c>
      <c r="X542" t="s">
        <v>66</v>
      </c>
      <c r="Y542" t="s">
        <v>66</v>
      </c>
      <c r="Z542" s="99" t="str">
        <f t="shared" ca="1" si="43"/>
        <v/>
      </c>
      <c r="AA542" s="101" t="str">
        <f t="shared" ca="1" si="44"/>
        <v/>
      </c>
    </row>
    <row r="543" spans="2:27" ht="27.6" customHeight="1">
      <c r="B543">
        <f t="shared" ca="1" si="40"/>
        <v>0</v>
      </c>
      <c r="C543" t="s">
        <v>36</v>
      </c>
      <c r="G543" s="75">
        <v>1</v>
      </c>
      <c r="J543" s="66" t="str">
        <f t="shared" ca="1" si="41"/>
        <v>14%</v>
      </c>
      <c r="K543" t="s">
        <v>59</v>
      </c>
      <c r="L543" s="66" t="str">
        <f t="shared" ca="1" si="42"/>
        <v>Sin costo</v>
      </c>
      <c r="M543" t="s">
        <v>64</v>
      </c>
      <c r="N543" t="s">
        <v>66</v>
      </c>
      <c r="O543" t="s">
        <v>66</v>
      </c>
      <c r="P543" t="s">
        <v>66</v>
      </c>
      <c r="R543" t="s">
        <v>66</v>
      </c>
      <c r="U543" t="s">
        <v>90</v>
      </c>
      <c r="V543" t="s">
        <v>66</v>
      </c>
      <c r="W543" t="s">
        <v>66</v>
      </c>
      <c r="X543" t="s">
        <v>66</v>
      </c>
      <c r="Y543" t="s">
        <v>66</v>
      </c>
      <c r="Z543" s="99" t="str">
        <f t="shared" ca="1" si="43"/>
        <v/>
      </c>
      <c r="AA543" s="101" t="str">
        <f t="shared" ca="1" si="44"/>
        <v/>
      </c>
    </row>
    <row r="544" spans="2:27" ht="27.6" customHeight="1">
      <c r="B544">
        <f t="shared" ca="1" si="40"/>
        <v>0</v>
      </c>
      <c r="C544" t="s">
        <v>36</v>
      </c>
      <c r="G544" s="75">
        <v>1</v>
      </c>
      <c r="J544" s="66" t="str">
        <f t="shared" ca="1" si="41"/>
        <v>14%</v>
      </c>
      <c r="K544" t="s">
        <v>59</v>
      </c>
      <c r="L544" s="66" t="str">
        <f t="shared" ca="1" si="42"/>
        <v>Sin costo</v>
      </c>
      <c r="M544" t="s">
        <v>64</v>
      </c>
      <c r="N544" t="s">
        <v>66</v>
      </c>
      <c r="O544" t="s">
        <v>66</v>
      </c>
      <c r="P544" t="s">
        <v>66</v>
      </c>
      <c r="R544" t="s">
        <v>66</v>
      </c>
      <c r="U544" t="s">
        <v>90</v>
      </c>
      <c r="V544" t="s">
        <v>66</v>
      </c>
      <c r="W544" t="s">
        <v>66</v>
      </c>
      <c r="X544" t="s">
        <v>66</v>
      </c>
      <c r="Y544" t="s">
        <v>66</v>
      </c>
      <c r="Z544" s="99" t="str">
        <f t="shared" ca="1" si="43"/>
        <v/>
      </c>
      <c r="AA544" s="101" t="str">
        <f t="shared" ca="1" si="44"/>
        <v/>
      </c>
    </row>
    <row r="545" spans="2:27" ht="27.6" customHeight="1">
      <c r="B545">
        <f t="shared" ca="1" si="40"/>
        <v>0</v>
      </c>
      <c r="C545" t="s">
        <v>36</v>
      </c>
      <c r="G545" s="75">
        <v>1</v>
      </c>
      <c r="J545" s="66" t="str">
        <f t="shared" ca="1" si="41"/>
        <v>14%</v>
      </c>
      <c r="K545" t="s">
        <v>59</v>
      </c>
      <c r="L545" s="66" t="str">
        <f t="shared" ca="1" si="42"/>
        <v>Sin costo</v>
      </c>
      <c r="M545" t="s">
        <v>64</v>
      </c>
      <c r="N545" t="s">
        <v>66</v>
      </c>
      <c r="O545" t="s">
        <v>66</v>
      </c>
      <c r="P545" t="s">
        <v>66</v>
      </c>
      <c r="R545" t="s">
        <v>66</v>
      </c>
      <c r="U545" t="s">
        <v>90</v>
      </c>
      <c r="V545" t="s">
        <v>66</v>
      </c>
      <c r="W545" t="s">
        <v>66</v>
      </c>
      <c r="X545" t="s">
        <v>66</v>
      </c>
      <c r="Y545" t="s">
        <v>66</v>
      </c>
      <c r="Z545" s="99" t="str">
        <f t="shared" ca="1" si="43"/>
        <v/>
      </c>
      <c r="AA545" s="101" t="str">
        <f t="shared" ca="1" si="44"/>
        <v/>
      </c>
    </row>
    <row r="546" spans="2:27" ht="27.6" customHeight="1">
      <c r="B546">
        <f t="shared" ca="1" si="40"/>
        <v>0</v>
      </c>
      <c r="C546" t="s">
        <v>36</v>
      </c>
      <c r="G546" s="75">
        <v>1</v>
      </c>
      <c r="J546" s="66" t="str">
        <f t="shared" ca="1" si="41"/>
        <v>14%</v>
      </c>
      <c r="K546" t="s">
        <v>59</v>
      </c>
      <c r="L546" s="66" t="str">
        <f t="shared" ca="1" si="42"/>
        <v>Sin costo</v>
      </c>
      <c r="M546" t="s">
        <v>64</v>
      </c>
      <c r="N546" t="s">
        <v>66</v>
      </c>
      <c r="O546" t="s">
        <v>66</v>
      </c>
      <c r="P546" t="s">
        <v>66</v>
      </c>
      <c r="R546" t="s">
        <v>66</v>
      </c>
      <c r="U546" t="s">
        <v>90</v>
      </c>
      <c r="V546" t="s">
        <v>66</v>
      </c>
      <c r="W546" t="s">
        <v>66</v>
      </c>
      <c r="X546" t="s">
        <v>66</v>
      </c>
      <c r="Y546" t="s">
        <v>66</v>
      </c>
      <c r="Z546" s="99" t="str">
        <f t="shared" ca="1" si="43"/>
        <v/>
      </c>
      <c r="AA546" s="101" t="str">
        <f t="shared" ca="1" si="44"/>
        <v/>
      </c>
    </row>
    <row r="547" spans="2:27" ht="27.6" customHeight="1">
      <c r="B547">
        <f t="shared" ca="1" si="40"/>
        <v>0</v>
      </c>
      <c r="C547" t="s">
        <v>36</v>
      </c>
      <c r="G547" s="75">
        <v>1</v>
      </c>
      <c r="J547" s="66" t="str">
        <f t="shared" ca="1" si="41"/>
        <v>14%</v>
      </c>
      <c r="K547" t="s">
        <v>59</v>
      </c>
      <c r="L547" s="66" t="str">
        <f t="shared" ca="1" si="42"/>
        <v>Sin costo</v>
      </c>
      <c r="M547" t="s">
        <v>64</v>
      </c>
      <c r="N547" t="s">
        <v>66</v>
      </c>
      <c r="O547" t="s">
        <v>66</v>
      </c>
      <c r="P547" t="s">
        <v>66</v>
      </c>
      <c r="R547" t="s">
        <v>66</v>
      </c>
      <c r="U547" t="s">
        <v>90</v>
      </c>
      <c r="V547" t="s">
        <v>66</v>
      </c>
      <c r="W547" t="s">
        <v>66</v>
      </c>
      <c r="X547" t="s">
        <v>66</v>
      </c>
      <c r="Y547" t="s">
        <v>66</v>
      </c>
      <c r="Z547" s="99" t="str">
        <f t="shared" ca="1" si="43"/>
        <v/>
      </c>
      <c r="AA547" s="101" t="str">
        <f t="shared" ca="1" si="44"/>
        <v/>
      </c>
    </row>
    <row r="548" spans="2:27" ht="27.6" customHeight="1">
      <c r="B548">
        <f t="shared" ca="1" si="40"/>
        <v>0</v>
      </c>
      <c r="C548" t="s">
        <v>36</v>
      </c>
      <c r="G548" s="75">
        <v>1</v>
      </c>
      <c r="J548" s="66" t="str">
        <f t="shared" ca="1" si="41"/>
        <v>14%</v>
      </c>
      <c r="K548" t="s">
        <v>59</v>
      </c>
      <c r="L548" s="66" t="str">
        <f t="shared" ca="1" si="42"/>
        <v>Sin costo</v>
      </c>
      <c r="M548" t="s">
        <v>64</v>
      </c>
      <c r="N548" t="s">
        <v>66</v>
      </c>
      <c r="O548" t="s">
        <v>66</v>
      </c>
      <c r="P548" t="s">
        <v>66</v>
      </c>
      <c r="R548" t="s">
        <v>66</v>
      </c>
      <c r="U548" t="s">
        <v>90</v>
      </c>
      <c r="V548" t="s">
        <v>66</v>
      </c>
      <c r="W548" t="s">
        <v>66</v>
      </c>
      <c r="X548" t="s">
        <v>66</v>
      </c>
      <c r="Y548" t="s">
        <v>66</v>
      </c>
      <c r="Z548" s="99" t="str">
        <f t="shared" ca="1" si="43"/>
        <v/>
      </c>
      <c r="AA548" s="101" t="str">
        <f t="shared" ca="1" si="44"/>
        <v/>
      </c>
    </row>
    <row r="549" spans="2:27" ht="27.6" customHeight="1">
      <c r="B549">
        <f t="shared" ca="1" si="40"/>
        <v>0</v>
      </c>
      <c r="C549" t="s">
        <v>36</v>
      </c>
      <c r="G549" s="75">
        <v>1</v>
      </c>
      <c r="J549" s="66" t="str">
        <f t="shared" ca="1" si="41"/>
        <v>14%</v>
      </c>
      <c r="K549" t="s">
        <v>59</v>
      </c>
      <c r="L549" s="66" t="str">
        <f t="shared" ca="1" si="42"/>
        <v>Sin costo</v>
      </c>
      <c r="M549" t="s">
        <v>64</v>
      </c>
      <c r="N549" t="s">
        <v>66</v>
      </c>
      <c r="O549" t="s">
        <v>66</v>
      </c>
      <c r="P549" t="s">
        <v>66</v>
      </c>
      <c r="R549" t="s">
        <v>66</v>
      </c>
      <c r="U549" t="s">
        <v>90</v>
      </c>
      <c r="V549" t="s">
        <v>66</v>
      </c>
      <c r="W549" t="s">
        <v>66</v>
      </c>
      <c r="X549" t="s">
        <v>66</v>
      </c>
      <c r="Y549" t="s">
        <v>66</v>
      </c>
      <c r="Z549" s="99" t="str">
        <f t="shared" ca="1" si="43"/>
        <v/>
      </c>
      <c r="AA549" s="101" t="str">
        <f t="shared" ca="1" si="44"/>
        <v/>
      </c>
    </row>
    <row r="550" spans="2:27" ht="27.6" customHeight="1">
      <c r="B550">
        <f t="shared" ca="1" si="40"/>
        <v>0</v>
      </c>
      <c r="C550" t="s">
        <v>36</v>
      </c>
      <c r="G550" s="75">
        <v>1</v>
      </c>
      <c r="J550" s="66" t="str">
        <f t="shared" ca="1" si="41"/>
        <v>14%</v>
      </c>
      <c r="K550" t="s">
        <v>59</v>
      </c>
      <c r="L550" s="66" t="str">
        <f t="shared" ca="1" si="42"/>
        <v>Sin costo</v>
      </c>
      <c r="M550" t="s">
        <v>64</v>
      </c>
      <c r="N550" t="s">
        <v>66</v>
      </c>
      <c r="O550" t="s">
        <v>66</v>
      </c>
      <c r="P550" t="s">
        <v>66</v>
      </c>
      <c r="R550" t="s">
        <v>66</v>
      </c>
      <c r="U550" t="s">
        <v>90</v>
      </c>
      <c r="V550" t="s">
        <v>66</v>
      </c>
      <c r="W550" t="s">
        <v>66</v>
      </c>
      <c r="X550" t="s">
        <v>66</v>
      </c>
      <c r="Y550" t="s">
        <v>66</v>
      </c>
      <c r="Z550" s="99" t="str">
        <f t="shared" ca="1" si="43"/>
        <v/>
      </c>
      <c r="AA550" s="101" t="str">
        <f t="shared" ca="1" si="44"/>
        <v/>
      </c>
    </row>
    <row r="551" spans="2:27" ht="27.6" customHeight="1">
      <c r="B551">
        <f t="shared" ca="1" si="40"/>
        <v>0</v>
      </c>
      <c r="C551" t="s">
        <v>36</v>
      </c>
      <c r="G551" s="75">
        <v>1</v>
      </c>
      <c r="J551" s="66" t="str">
        <f t="shared" ca="1" si="41"/>
        <v>14%</v>
      </c>
      <c r="K551" t="s">
        <v>59</v>
      </c>
      <c r="L551" s="66" t="str">
        <f t="shared" ca="1" si="42"/>
        <v>Sin costo</v>
      </c>
      <c r="M551" t="s">
        <v>64</v>
      </c>
      <c r="N551" t="s">
        <v>66</v>
      </c>
      <c r="O551" t="s">
        <v>66</v>
      </c>
      <c r="P551" t="s">
        <v>66</v>
      </c>
      <c r="R551" t="s">
        <v>66</v>
      </c>
      <c r="U551" t="s">
        <v>90</v>
      </c>
      <c r="V551" t="s">
        <v>66</v>
      </c>
      <c r="W551" t="s">
        <v>66</v>
      </c>
      <c r="X551" t="s">
        <v>66</v>
      </c>
      <c r="Y551" t="s">
        <v>66</v>
      </c>
      <c r="Z551" s="99" t="str">
        <f t="shared" ca="1" si="43"/>
        <v/>
      </c>
      <c r="AA551" s="101" t="str">
        <f t="shared" ca="1" si="44"/>
        <v/>
      </c>
    </row>
    <row r="552" spans="2:27" ht="27.6" customHeight="1">
      <c r="B552">
        <f t="shared" ca="1" si="40"/>
        <v>0</v>
      </c>
      <c r="C552" t="s">
        <v>36</v>
      </c>
      <c r="G552" s="75">
        <v>1</v>
      </c>
      <c r="J552" s="66" t="str">
        <f t="shared" ca="1" si="41"/>
        <v>14%</v>
      </c>
      <c r="K552" t="s">
        <v>59</v>
      </c>
      <c r="L552" s="66" t="str">
        <f t="shared" ca="1" si="42"/>
        <v>Sin costo</v>
      </c>
      <c r="M552" t="s">
        <v>64</v>
      </c>
      <c r="N552" t="s">
        <v>66</v>
      </c>
      <c r="O552" t="s">
        <v>66</v>
      </c>
      <c r="P552" t="s">
        <v>66</v>
      </c>
      <c r="R552" t="s">
        <v>66</v>
      </c>
      <c r="U552" t="s">
        <v>90</v>
      </c>
      <c r="V552" t="s">
        <v>66</v>
      </c>
      <c r="W552" t="s">
        <v>66</v>
      </c>
      <c r="X552" t="s">
        <v>66</v>
      </c>
      <c r="Y552" t="s">
        <v>66</v>
      </c>
      <c r="Z552" s="99" t="str">
        <f t="shared" ca="1" si="43"/>
        <v/>
      </c>
      <c r="AA552" s="101" t="str">
        <f t="shared" ca="1" si="44"/>
        <v/>
      </c>
    </row>
    <row r="553" spans="2:27" ht="27.6" customHeight="1">
      <c r="B553">
        <f t="shared" ca="1" si="40"/>
        <v>0</v>
      </c>
      <c r="C553" t="s">
        <v>36</v>
      </c>
      <c r="G553" s="75">
        <v>1</v>
      </c>
      <c r="J553" s="66" t="str">
        <f t="shared" ca="1" si="41"/>
        <v>14%</v>
      </c>
      <c r="K553" t="s">
        <v>59</v>
      </c>
      <c r="L553" s="66" t="str">
        <f t="shared" ca="1" si="42"/>
        <v>Sin costo</v>
      </c>
      <c r="M553" t="s">
        <v>64</v>
      </c>
      <c r="N553" t="s">
        <v>66</v>
      </c>
      <c r="O553" t="s">
        <v>66</v>
      </c>
      <c r="P553" t="s">
        <v>66</v>
      </c>
      <c r="R553" t="s">
        <v>66</v>
      </c>
      <c r="U553" t="s">
        <v>90</v>
      </c>
      <c r="V553" t="s">
        <v>66</v>
      </c>
      <c r="W553" t="s">
        <v>66</v>
      </c>
      <c r="X553" t="s">
        <v>66</v>
      </c>
      <c r="Y553" t="s">
        <v>66</v>
      </c>
      <c r="Z553" s="99" t="str">
        <f t="shared" ca="1" si="43"/>
        <v/>
      </c>
      <c r="AA553" s="101" t="str">
        <f t="shared" ca="1" si="44"/>
        <v/>
      </c>
    </row>
    <row r="554" spans="2:27" ht="27.6" customHeight="1">
      <c r="B554">
        <f t="shared" ca="1" si="40"/>
        <v>0</v>
      </c>
      <c r="C554" t="s">
        <v>36</v>
      </c>
      <c r="G554" s="75">
        <v>1</v>
      </c>
      <c r="J554" s="66" t="str">
        <f t="shared" ca="1" si="41"/>
        <v>14%</v>
      </c>
      <c r="K554" t="s">
        <v>59</v>
      </c>
      <c r="L554" s="66" t="str">
        <f t="shared" ca="1" si="42"/>
        <v>Sin costo</v>
      </c>
      <c r="M554" t="s">
        <v>64</v>
      </c>
      <c r="N554" t="s">
        <v>66</v>
      </c>
      <c r="O554" t="s">
        <v>66</v>
      </c>
      <c r="P554" t="s">
        <v>66</v>
      </c>
      <c r="R554" t="s">
        <v>66</v>
      </c>
      <c r="U554" t="s">
        <v>90</v>
      </c>
      <c r="V554" t="s">
        <v>66</v>
      </c>
      <c r="W554" t="s">
        <v>66</v>
      </c>
      <c r="X554" t="s">
        <v>66</v>
      </c>
      <c r="Y554" t="s">
        <v>66</v>
      </c>
      <c r="Z554" s="99" t="str">
        <f t="shared" ca="1" si="43"/>
        <v/>
      </c>
      <c r="AA554" s="101" t="str">
        <f t="shared" ca="1" si="44"/>
        <v/>
      </c>
    </row>
    <row r="555" spans="2:27" ht="27.6" customHeight="1">
      <c r="B555">
        <f t="shared" ca="1" si="40"/>
        <v>0</v>
      </c>
      <c r="C555" t="s">
        <v>36</v>
      </c>
      <c r="G555" s="75">
        <v>1</v>
      </c>
      <c r="J555" s="66" t="str">
        <f t="shared" ca="1" si="41"/>
        <v>14%</v>
      </c>
      <c r="K555" t="s">
        <v>59</v>
      </c>
      <c r="L555" s="66" t="str">
        <f t="shared" ca="1" si="42"/>
        <v>Sin costo</v>
      </c>
      <c r="M555" t="s">
        <v>64</v>
      </c>
      <c r="N555" t="s">
        <v>66</v>
      </c>
      <c r="O555" t="s">
        <v>66</v>
      </c>
      <c r="P555" t="s">
        <v>66</v>
      </c>
      <c r="R555" t="s">
        <v>66</v>
      </c>
      <c r="U555" t="s">
        <v>90</v>
      </c>
      <c r="V555" t="s">
        <v>66</v>
      </c>
      <c r="W555" t="s">
        <v>66</v>
      </c>
      <c r="X555" t="s">
        <v>66</v>
      </c>
      <c r="Y555" t="s">
        <v>66</v>
      </c>
      <c r="Z555" s="99" t="str">
        <f t="shared" ca="1" si="43"/>
        <v/>
      </c>
      <c r="AA555" s="101" t="str">
        <f t="shared" ca="1" si="44"/>
        <v/>
      </c>
    </row>
    <row r="556" spans="2:27" ht="27.6" customHeight="1">
      <c r="B556">
        <f t="shared" ca="1" si="40"/>
        <v>0</v>
      </c>
      <c r="C556" t="s">
        <v>36</v>
      </c>
      <c r="G556" s="75">
        <v>1</v>
      </c>
      <c r="J556" s="66" t="str">
        <f t="shared" ca="1" si="41"/>
        <v>14%</v>
      </c>
      <c r="K556" t="s">
        <v>59</v>
      </c>
      <c r="L556" s="66" t="str">
        <f t="shared" ca="1" si="42"/>
        <v>Sin costo</v>
      </c>
      <c r="M556" t="s">
        <v>64</v>
      </c>
      <c r="N556" t="s">
        <v>66</v>
      </c>
      <c r="O556" t="s">
        <v>66</v>
      </c>
      <c r="P556" t="s">
        <v>66</v>
      </c>
      <c r="R556" t="s">
        <v>66</v>
      </c>
      <c r="U556" t="s">
        <v>90</v>
      </c>
      <c r="V556" t="s">
        <v>66</v>
      </c>
      <c r="W556" t="s">
        <v>66</v>
      </c>
      <c r="X556" t="s">
        <v>66</v>
      </c>
      <c r="Y556" t="s">
        <v>66</v>
      </c>
      <c r="Z556" s="99" t="str">
        <f t="shared" ca="1" si="43"/>
        <v/>
      </c>
      <c r="AA556" s="101" t="str">
        <f t="shared" ca="1" si="44"/>
        <v/>
      </c>
    </row>
    <row r="557" spans="2:27" ht="27.6" customHeight="1">
      <c r="B557">
        <f t="shared" ca="1" si="40"/>
        <v>0</v>
      </c>
      <c r="C557" t="s">
        <v>36</v>
      </c>
      <c r="G557" s="75">
        <v>1</v>
      </c>
      <c r="J557" s="66" t="str">
        <f t="shared" ca="1" si="41"/>
        <v>14%</v>
      </c>
      <c r="K557" t="s">
        <v>59</v>
      </c>
      <c r="L557" s="66" t="str">
        <f t="shared" ca="1" si="42"/>
        <v>Sin costo</v>
      </c>
      <c r="M557" t="s">
        <v>64</v>
      </c>
      <c r="N557" t="s">
        <v>66</v>
      </c>
      <c r="O557" t="s">
        <v>66</v>
      </c>
      <c r="P557" t="s">
        <v>66</v>
      </c>
      <c r="R557" t="s">
        <v>66</v>
      </c>
      <c r="U557" t="s">
        <v>90</v>
      </c>
      <c r="V557" t="s">
        <v>66</v>
      </c>
      <c r="W557" t="s">
        <v>66</v>
      </c>
      <c r="X557" t="s">
        <v>66</v>
      </c>
      <c r="Y557" t="s">
        <v>66</v>
      </c>
      <c r="Z557" s="99" t="str">
        <f t="shared" ca="1" si="43"/>
        <v/>
      </c>
      <c r="AA557" s="101" t="str">
        <f t="shared" ca="1" si="44"/>
        <v/>
      </c>
    </row>
    <row r="558" spans="2:27" ht="27.6" customHeight="1">
      <c r="B558">
        <f t="shared" ca="1" si="40"/>
        <v>0</v>
      </c>
      <c r="C558" t="s">
        <v>36</v>
      </c>
      <c r="G558" s="75">
        <v>1</v>
      </c>
      <c r="J558" s="66" t="str">
        <f t="shared" ca="1" si="41"/>
        <v>14%</v>
      </c>
      <c r="K558" t="s">
        <v>59</v>
      </c>
      <c r="L558" s="66" t="str">
        <f t="shared" ca="1" si="42"/>
        <v>Sin costo</v>
      </c>
      <c r="M558" t="s">
        <v>64</v>
      </c>
      <c r="N558" t="s">
        <v>66</v>
      </c>
      <c r="O558" t="s">
        <v>66</v>
      </c>
      <c r="P558" t="s">
        <v>66</v>
      </c>
      <c r="R558" t="s">
        <v>66</v>
      </c>
      <c r="U558" t="s">
        <v>90</v>
      </c>
      <c r="V558" t="s">
        <v>66</v>
      </c>
      <c r="W558" t="s">
        <v>66</v>
      </c>
      <c r="X558" t="s">
        <v>66</v>
      </c>
      <c r="Y558" t="s">
        <v>66</v>
      </c>
      <c r="Z558" s="99" t="str">
        <f t="shared" ca="1" si="43"/>
        <v/>
      </c>
      <c r="AA558" s="101" t="str">
        <f t="shared" ca="1" si="44"/>
        <v/>
      </c>
    </row>
    <row r="559" spans="2:27" ht="27.6" customHeight="1">
      <c r="B559">
        <f t="shared" ca="1" si="40"/>
        <v>0</v>
      </c>
      <c r="C559" t="s">
        <v>36</v>
      </c>
      <c r="G559" s="75">
        <v>1</v>
      </c>
      <c r="J559" s="66" t="str">
        <f t="shared" ca="1" si="41"/>
        <v>14%</v>
      </c>
      <c r="K559" t="s">
        <v>59</v>
      </c>
      <c r="L559" s="66" t="str">
        <f t="shared" ca="1" si="42"/>
        <v>Sin costo</v>
      </c>
      <c r="M559" t="s">
        <v>64</v>
      </c>
      <c r="N559" t="s">
        <v>66</v>
      </c>
      <c r="O559" t="s">
        <v>66</v>
      </c>
      <c r="P559" t="s">
        <v>66</v>
      </c>
      <c r="R559" t="s">
        <v>66</v>
      </c>
      <c r="U559" t="s">
        <v>90</v>
      </c>
      <c r="V559" t="s">
        <v>66</v>
      </c>
      <c r="W559" t="s">
        <v>66</v>
      </c>
      <c r="X559" t="s">
        <v>66</v>
      </c>
      <c r="Y559" t="s">
        <v>66</v>
      </c>
      <c r="Z559" s="99" t="str">
        <f t="shared" ca="1" si="43"/>
        <v/>
      </c>
      <c r="AA559" s="101" t="str">
        <f t="shared" ca="1" si="44"/>
        <v/>
      </c>
    </row>
    <row r="560" spans="2:27" ht="27.6" customHeight="1">
      <c r="B560">
        <f t="shared" ca="1" si="40"/>
        <v>0</v>
      </c>
      <c r="C560" t="s">
        <v>36</v>
      </c>
      <c r="G560" s="75">
        <v>1</v>
      </c>
      <c r="J560" s="66" t="str">
        <f t="shared" ca="1" si="41"/>
        <v>14%</v>
      </c>
      <c r="K560" t="s">
        <v>59</v>
      </c>
      <c r="L560" s="66" t="str">
        <f t="shared" ca="1" si="42"/>
        <v>Sin costo</v>
      </c>
      <c r="M560" t="s">
        <v>64</v>
      </c>
      <c r="N560" t="s">
        <v>66</v>
      </c>
      <c r="O560" t="s">
        <v>66</v>
      </c>
      <c r="P560" t="s">
        <v>66</v>
      </c>
      <c r="R560" t="s">
        <v>66</v>
      </c>
      <c r="U560" t="s">
        <v>90</v>
      </c>
      <c r="V560" t="s">
        <v>66</v>
      </c>
      <c r="W560" t="s">
        <v>66</v>
      </c>
      <c r="X560" t="s">
        <v>66</v>
      </c>
      <c r="Y560" t="s">
        <v>66</v>
      </c>
      <c r="Z560" s="99" t="str">
        <f t="shared" ca="1" si="43"/>
        <v/>
      </c>
      <c r="AA560" s="101" t="str">
        <f t="shared" ca="1" si="44"/>
        <v/>
      </c>
    </row>
    <row r="561" spans="2:27" ht="27.6" customHeight="1">
      <c r="B561">
        <f t="shared" ca="1" si="40"/>
        <v>0</v>
      </c>
      <c r="C561" t="s">
        <v>36</v>
      </c>
      <c r="G561" s="75">
        <v>1</v>
      </c>
      <c r="J561" s="66" t="str">
        <f t="shared" ca="1" si="41"/>
        <v>14%</v>
      </c>
      <c r="K561" t="s">
        <v>59</v>
      </c>
      <c r="L561" s="66" t="str">
        <f t="shared" ca="1" si="42"/>
        <v>Sin costo</v>
      </c>
      <c r="M561" t="s">
        <v>64</v>
      </c>
      <c r="N561" t="s">
        <v>66</v>
      </c>
      <c r="O561" t="s">
        <v>66</v>
      </c>
      <c r="P561" t="s">
        <v>66</v>
      </c>
      <c r="R561" t="s">
        <v>66</v>
      </c>
      <c r="U561" t="s">
        <v>90</v>
      </c>
      <c r="V561" t="s">
        <v>66</v>
      </c>
      <c r="W561" t="s">
        <v>66</v>
      </c>
      <c r="X561" t="s">
        <v>66</v>
      </c>
      <c r="Y561" t="s">
        <v>66</v>
      </c>
      <c r="Z561" s="99" t="str">
        <f t="shared" ca="1" si="43"/>
        <v/>
      </c>
      <c r="AA561" s="101" t="str">
        <f t="shared" ca="1" si="44"/>
        <v/>
      </c>
    </row>
    <row r="562" spans="2:27" ht="27.6" customHeight="1">
      <c r="B562">
        <f t="shared" ca="1" si="40"/>
        <v>0</v>
      </c>
      <c r="C562" t="s">
        <v>36</v>
      </c>
      <c r="G562" s="75">
        <v>1</v>
      </c>
      <c r="J562" s="66" t="str">
        <f t="shared" ca="1" si="41"/>
        <v>14%</v>
      </c>
      <c r="K562" t="s">
        <v>59</v>
      </c>
      <c r="L562" s="66" t="str">
        <f t="shared" ca="1" si="42"/>
        <v>Sin costo</v>
      </c>
      <c r="M562" t="s">
        <v>64</v>
      </c>
      <c r="N562" t="s">
        <v>66</v>
      </c>
      <c r="O562" t="s">
        <v>66</v>
      </c>
      <c r="P562" t="s">
        <v>66</v>
      </c>
      <c r="R562" t="s">
        <v>66</v>
      </c>
      <c r="U562" t="s">
        <v>90</v>
      </c>
      <c r="V562" t="s">
        <v>66</v>
      </c>
      <c r="W562" t="s">
        <v>66</v>
      </c>
      <c r="X562" t="s">
        <v>66</v>
      </c>
      <c r="Y562" t="s">
        <v>66</v>
      </c>
      <c r="Z562" s="99" t="str">
        <f t="shared" ca="1" si="43"/>
        <v/>
      </c>
      <c r="AA562" s="101" t="str">
        <f t="shared" ca="1" si="44"/>
        <v/>
      </c>
    </row>
    <row r="563" spans="2:27" ht="27.6" customHeight="1">
      <c r="B563">
        <f t="shared" ca="1" si="40"/>
        <v>0</v>
      </c>
      <c r="C563" t="s">
        <v>36</v>
      </c>
      <c r="G563" s="75">
        <v>1</v>
      </c>
      <c r="J563" s="66" t="str">
        <f t="shared" ca="1" si="41"/>
        <v>14%</v>
      </c>
      <c r="K563" t="s">
        <v>59</v>
      </c>
      <c r="L563" s="66" t="str">
        <f t="shared" ca="1" si="42"/>
        <v>Sin costo</v>
      </c>
      <c r="M563" t="s">
        <v>64</v>
      </c>
      <c r="N563" t="s">
        <v>66</v>
      </c>
      <c r="O563" t="s">
        <v>66</v>
      </c>
      <c r="P563" t="s">
        <v>66</v>
      </c>
      <c r="R563" t="s">
        <v>66</v>
      </c>
      <c r="U563" t="s">
        <v>90</v>
      </c>
      <c r="V563" t="s">
        <v>66</v>
      </c>
      <c r="W563" t="s">
        <v>66</v>
      </c>
      <c r="X563" t="s">
        <v>66</v>
      </c>
      <c r="Y563" t="s">
        <v>66</v>
      </c>
      <c r="Z563" s="99" t="str">
        <f t="shared" ca="1" si="43"/>
        <v/>
      </c>
      <c r="AA563" s="101" t="str">
        <f t="shared" ca="1" si="44"/>
        <v/>
      </c>
    </row>
    <row r="564" spans="2:27" ht="27.6" customHeight="1">
      <c r="B564">
        <f t="shared" ca="1" si="40"/>
        <v>0</v>
      </c>
      <c r="C564" t="s">
        <v>36</v>
      </c>
      <c r="G564" s="75">
        <v>1</v>
      </c>
      <c r="J564" s="66" t="str">
        <f t="shared" ca="1" si="41"/>
        <v>14%</v>
      </c>
      <c r="K564" t="s">
        <v>59</v>
      </c>
      <c r="L564" s="66" t="str">
        <f t="shared" ca="1" si="42"/>
        <v>Sin costo</v>
      </c>
      <c r="M564" t="s">
        <v>64</v>
      </c>
      <c r="N564" t="s">
        <v>66</v>
      </c>
      <c r="O564" t="s">
        <v>66</v>
      </c>
      <c r="P564" t="s">
        <v>66</v>
      </c>
      <c r="R564" t="s">
        <v>66</v>
      </c>
      <c r="U564" t="s">
        <v>90</v>
      </c>
      <c r="V564" t="s">
        <v>66</v>
      </c>
      <c r="W564" t="s">
        <v>66</v>
      </c>
      <c r="X564" t="s">
        <v>66</v>
      </c>
      <c r="Y564" t="s">
        <v>66</v>
      </c>
      <c r="Z564" s="99" t="str">
        <f t="shared" ca="1" si="43"/>
        <v/>
      </c>
      <c r="AA564" s="101" t="str">
        <f t="shared" ca="1" si="44"/>
        <v/>
      </c>
    </row>
    <row r="565" spans="2:27" ht="27.6" customHeight="1">
      <c r="B565">
        <f t="shared" ca="1" si="40"/>
        <v>0</v>
      </c>
      <c r="C565" t="s">
        <v>36</v>
      </c>
      <c r="G565" s="75">
        <v>1</v>
      </c>
      <c r="J565" s="66" t="str">
        <f t="shared" ca="1" si="41"/>
        <v>14%</v>
      </c>
      <c r="K565" t="s">
        <v>59</v>
      </c>
      <c r="L565" s="66" t="str">
        <f t="shared" ca="1" si="42"/>
        <v>Sin costo</v>
      </c>
      <c r="M565" t="s">
        <v>64</v>
      </c>
      <c r="N565" t="s">
        <v>66</v>
      </c>
      <c r="O565" t="s">
        <v>66</v>
      </c>
      <c r="P565" t="s">
        <v>66</v>
      </c>
      <c r="R565" t="s">
        <v>66</v>
      </c>
      <c r="U565" t="s">
        <v>90</v>
      </c>
      <c r="V565" t="s">
        <v>66</v>
      </c>
      <c r="W565" t="s">
        <v>66</v>
      </c>
      <c r="X565" t="s">
        <v>66</v>
      </c>
      <c r="Y565" t="s">
        <v>66</v>
      </c>
      <c r="Z565" s="99" t="str">
        <f t="shared" ca="1" si="43"/>
        <v/>
      </c>
      <c r="AA565" s="101" t="str">
        <f t="shared" ca="1" si="44"/>
        <v/>
      </c>
    </row>
    <row r="566" spans="2:27" ht="27.6" customHeight="1">
      <c r="B566">
        <f t="shared" ca="1" si="40"/>
        <v>0</v>
      </c>
      <c r="C566" t="s">
        <v>36</v>
      </c>
      <c r="G566" s="75">
        <v>1</v>
      </c>
      <c r="J566" s="66" t="str">
        <f t="shared" ca="1" si="41"/>
        <v>14%</v>
      </c>
      <c r="K566" t="s">
        <v>59</v>
      </c>
      <c r="L566" s="66" t="str">
        <f t="shared" ca="1" si="42"/>
        <v>Sin costo</v>
      </c>
      <c r="M566" t="s">
        <v>64</v>
      </c>
      <c r="N566" t="s">
        <v>66</v>
      </c>
      <c r="O566" t="s">
        <v>66</v>
      </c>
      <c r="P566" t="s">
        <v>66</v>
      </c>
      <c r="R566" t="s">
        <v>66</v>
      </c>
      <c r="U566" t="s">
        <v>90</v>
      </c>
      <c r="V566" t="s">
        <v>66</v>
      </c>
      <c r="W566" t="s">
        <v>66</v>
      </c>
      <c r="X566" t="s">
        <v>66</v>
      </c>
      <c r="Y566" t="s">
        <v>66</v>
      </c>
      <c r="Z566" s="99" t="str">
        <f t="shared" ca="1" si="43"/>
        <v/>
      </c>
      <c r="AA566" s="101" t="str">
        <f t="shared" ca="1" si="44"/>
        <v/>
      </c>
    </row>
    <row r="567" spans="2:27" ht="27.6" customHeight="1">
      <c r="B567">
        <f t="shared" ca="1" si="40"/>
        <v>0</v>
      </c>
      <c r="C567" t="s">
        <v>36</v>
      </c>
      <c r="G567" s="75">
        <v>1</v>
      </c>
      <c r="J567" s="66" t="str">
        <f t="shared" ca="1" si="41"/>
        <v>14%</v>
      </c>
      <c r="K567" t="s">
        <v>59</v>
      </c>
      <c r="L567" s="66" t="str">
        <f t="shared" ca="1" si="42"/>
        <v>Sin costo</v>
      </c>
      <c r="M567" t="s">
        <v>64</v>
      </c>
      <c r="N567" t="s">
        <v>66</v>
      </c>
      <c r="O567" t="s">
        <v>66</v>
      </c>
      <c r="P567" t="s">
        <v>66</v>
      </c>
      <c r="R567" t="s">
        <v>66</v>
      </c>
      <c r="U567" t="s">
        <v>90</v>
      </c>
      <c r="V567" t="s">
        <v>66</v>
      </c>
      <c r="W567" t="s">
        <v>66</v>
      </c>
      <c r="X567" t="s">
        <v>66</v>
      </c>
      <c r="Y567" t="s">
        <v>66</v>
      </c>
      <c r="Z567" s="99" t="str">
        <f t="shared" ca="1" si="43"/>
        <v/>
      </c>
      <c r="AA567" s="101" t="str">
        <f t="shared" ca="1" si="44"/>
        <v/>
      </c>
    </row>
    <row r="568" spans="2:27" ht="27.6" customHeight="1">
      <c r="B568">
        <f t="shared" ca="1" si="40"/>
        <v>0</v>
      </c>
      <c r="C568" t="s">
        <v>36</v>
      </c>
      <c r="G568" s="75">
        <v>1</v>
      </c>
      <c r="J568" s="66" t="str">
        <f t="shared" ca="1" si="41"/>
        <v>14%</v>
      </c>
      <c r="K568" t="s">
        <v>59</v>
      </c>
      <c r="L568" s="66" t="str">
        <f t="shared" ca="1" si="42"/>
        <v>Sin costo</v>
      </c>
      <c r="M568" t="s">
        <v>64</v>
      </c>
      <c r="N568" t="s">
        <v>66</v>
      </c>
      <c r="O568" t="s">
        <v>66</v>
      </c>
      <c r="P568" t="s">
        <v>66</v>
      </c>
      <c r="R568" t="s">
        <v>66</v>
      </c>
      <c r="U568" t="s">
        <v>90</v>
      </c>
      <c r="V568" t="s">
        <v>66</v>
      </c>
      <c r="W568" t="s">
        <v>66</v>
      </c>
      <c r="X568" t="s">
        <v>66</v>
      </c>
      <c r="Y568" t="s">
        <v>66</v>
      </c>
      <c r="Z568" s="99" t="str">
        <f t="shared" ca="1" si="43"/>
        <v/>
      </c>
      <c r="AA568" s="101" t="str">
        <f t="shared" ca="1" si="44"/>
        <v/>
      </c>
    </row>
    <row r="569" spans="2:27" ht="27.6" customHeight="1">
      <c r="B569">
        <f t="shared" ca="1" si="40"/>
        <v>0</v>
      </c>
      <c r="C569" t="s">
        <v>36</v>
      </c>
      <c r="G569" s="75">
        <v>1</v>
      </c>
      <c r="J569" s="66" t="str">
        <f t="shared" ca="1" si="41"/>
        <v>14%</v>
      </c>
      <c r="K569" t="s">
        <v>59</v>
      </c>
      <c r="L569" s="66" t="str">
        <f t="shared" ca="1" si="42"/>
        <v>Sin costo</v>
      </c>
      <c r="M569" t="s">
        <v>64</v>
      </c>
      <c r="N569" t="s">
        <v>66</v>
      </c>
      <c r="O569" t="s">
        <v>66</v>
      </c>
      <c r="P569" t="s">
        <v>66</v>
      </c>
      <c r="R569" t="s">
        <v>66</v>
      </c>
      <c r="U569" t="s">
        <v>90</v>
      </c>
      <c r="V569" t="s">
        <v>66</v>
      </c>
      <c r="W569" t="s">
        <v>66</v>
      </c>
      <c r="X569" t="s">
        <v>66</v>
      </c>
      <c r="Y569" t="s">
        <v>66</v>
      </c>
      <c r="Z569" s="99" t="str">
        <f t="shared" ca="1" si="43"/>
        <v/>
      </c>
      <c r="AA569" s="101" t="str">
        <f t="shared" ca="1" si="44"/>
        <v/>
      </c>
    </row>
    <row r="570" spans="2:27" ht="27.6" customHeight="1">
      <c r="B570">
        <f t="shared" ca="1" si="40"/>
        <v>0</v>
      </c>
      <c r="C570" t="s">
        <v>36</v>
      </c>
      <c r="G570" s="75">
        <v>1</v>
      </c>
      <c r="J570" s="66" t="str">
        <f t="shared" ca="1" si="41"/>
        <v>14%</v>
      </c>
      <c r="K570" t="s">
        <v>59</v>
      </c>
      <c r="L570" s="66" t="str">
        <f t="shared" ca="1" si="42"/>
        <v>Sin costo</v>
      </c>
      <c r="M570" t="s">
        <v>64</v>
      </c>
      <c r="N570" t="s">
        <v>66</v>
      </c>
      <c r="O570" t="s">
        <v>66</v>
      </c>
      <c r="P570" t="s">
        <v>66</v>
      </c>
      <c r="R570" t="s">
        <v>66</v>
      </c>
      <c r="U570" t="s">
        <v>90</v>
      </c>
      <c r="V570" t="s">
        <v>66</v>
      </c>
      <c r="W570" t="s">
        <v>66</v>
      </c>
      <c r="X570" t="s">
        <v>66</v>
      </c>
      <c r="Y570" t="s">
        <v>66</v>
      </c>
      <c r="Z570" s="99" t="str">
        <f t="shared" ca="1" si="43"/>
        <v/>
      </c>
      <c r="AA570" s="101" t="str">
        <f t="shared" ca="1" si="44"/>
        <v/>
      </c>
    </row>
    <row r="571" spans="2:27" ht="27.6" customHeight="1">
      <c r="B571">
        <f t="shared" ca="1" si="40"/>
        <v>0</v>
      </c>
      <c r="C571" t="s">
        <v>36</v>
      </c>
      <c r="G571" s="75">
        <v>1</v>
      </c>
      <c r="J571" s="66" t="str">
        <f t="shared" ca="1" si="41"/>
        <v>14%</v>
      </c>
      <c r="K571" t="s">
        <v>59</v>
      </c>
      <c r="L571" s="66" t="str">
        <f t="shared" ca="1" si="42"/>
        <v>Sin costo</v>
      </c>
      <c r="M571" t="s">
        <v>64</v>
      </c>
      <c r="N571" t="s">
        <v>66</v>
      </c>
      <c r="O571" t="s">
        <v>66</v>
      </c>
      <c r="P571" t="s">
        <v>66</v>
      </c>
      <c r="R571" t="s">
        <v>66</v>
      </c>
      <c r="U571" t="s">
        <v>90</v>
      </c>
      <c r="V571" t="s">
        <v>66</v>
      </c>
      <c r="W571" t="s">
        <v>66</v>
      </c>
      <c r="X571" t="s">
        <v>66</v>
      </c>
      <c r="Y571" t="s">
        <v>66</v>
      </c>
      <c r="Z571" s="99" t="str">
        <f t="shared" ca="1" si="43"/>
        <v/>
      </c>
      <c r="AA571" s="101" t="str">
        <f t="shared" ca="1" si="44"/>
        <v/>
      </c>
    </row>
    <row r="572" spans="2:27" ht="27.6" customHeight="1">
      <c r="B572">
        <f t="shared" ca="1" si="40"/>
        <v>0</v>
      </c>
      <c r="C572" t="s">
        <v>36</v>
      </c>
      <c r="G572" s="75">
        <v>1</v>
      </c>
      <c r="J572" s="66" t="str">
        <f t="shared" ca="1" si="41"/>
        <v>14%</v>
      </c>
      <c r="K572" t="s">
        <v>59</v>
      </c>
      <c r="L572" s="66" t="str">
        <f t="shared" ca="1" si="42"/>
        <v>Sin costo</v>
      </c>
      <c r="M572" t="s">
        <v>64</v>
      </c>
      <c r="N572" t="s">
        <v>66</v>
      </c>
      <c r="O572" t="s">
        <v>66</v>
      </c>
      <c r="P572" t="s">
        <v>66</v>
      </c>
      <c r="R572" t="s">
        <v>66</v>
      </c>
      <c r="U572" t="s">
        <v>90</v>
      </c>
      <c r="V572" t="s">
        <v>66</v>
      </c>
      <c r="W572" t="s">
        <v>66</v>
      </c>
      <c r="X572" t="s">
        <v>66</v>
      </c>
      <c r="Y572" t="s">
        <v>66</v>
      </c>
      <c r="Z572" s="99" t="str">
        <f t="shared" ca="1" si="43"/>
        <v/>
      </c>
      <c r="AA572" s="101" t="str">
        <f t="shared" ca="1" si="44"/>
        <v/>
      </c>
    </row>
    <row r="573" spans="2:27" ht="27.6" customHeight="1">
      <c r="B573">
        <f t="shared" ca="1" si="40"/>
        <v>0</v>
      </c>
      <c r="C573" t="s">
        <v>36</v>
      </c>
      <c r="G573" s="75">
        <v>1</v>
      </c>
      <c r="J573" s="66" t="str">
        <f t="shared" ca="1" si="41"/>
        <v>14%</v>
      </c>
      <c r="K573" t="s">
        <v>59</v>
      </c>
      <c r="L573" s="66" t="str">
        <f t="shared" ca="1" si="42"/>
        <v>Sin costo</v>
      </c>
      <c r="M573" t="s">
        <v>64</v>
      </c>
      <c r="N573" t="s">
        <v>66</v>
      </c>
      <c r="O573" t="s">
        <v>66</v>
      </c>
      <c r="P573" t="s">
        <v>66</v>
      </c>
      <c r="R573" t="s">
        <v>66</v>
      </c>
      <c r="U573" t="s">
        <v>90</v>
      </c>
      <c r="V573" t="s">
        <v>66</v>
      </c>
      <c r="W573" t="s">
        <v>66</v>
      </c>
      <c r="X573" t="s">
        <v>66</v>
      </c>
      <c r="Y573" t="s">
        <v>66</v>
      </c>
      <c r="Z573" s="99" t="str">
        <f t="shared" ca="1" si="43"/>
        <v/>
      </c>
      <c r="AA573" s="101" t="str">
        <f t="shared" ca="1" si="44"/>
        <v/>
      </c>
    </row>
    <row r="574" spans="2:27" ht="27.6" customHeight="1">
      <c r="B574">
        <f t="shared" ca="1" si="40"/>
        <v>0</v>
      </c>
      <c r="C574" t="s">
        <v>36</v>
      </c>
      <c r="G574" s="75">
        <v>1</v>
      </c>
      <c r="J574" s="66" t="str">
        <f t="shared" ca="1" si="41"/>
        <v>14%</v>
      </c>
      <c r="K574" t="s">
        <v>59</v>
      </c>
      <c r="L574" s="66" t="str">
        <f t="shared" ca="1" si="42"/>
        <v>Sin costo</v>
      </c>
      <c r="M574" t="s">
        <v>64</v>
      </c>
      <c r="N574" t="s">
        <v>66</v>
      </c>
      <c r="O574" t="s">
        <v>66</v>
      </c>
      <c r="P574" t="s">
        <v>66</v>
      </c>
      <c r="R574" t="s">
        <v>66</v>
      </c>
      <c r="U574" t="s">
        <v>90</v>
      </c>
      <c r="V574" t="s">
        <v>66</v>
      </c>
      <c r="W574" t="s">
        <v>66</v>
      </c>
      <c r="X574" t="s">
        <v>66</v>
      </c>
      <c r="Y574" t="s">
        <v>66</v>
      </c>
      <c r="Z574" s="99" t="str">
        <f t="shared" ca="1" si="43"/>
        <v/>
      </c>
      <c r="AA574" s="101" t="str">
        <f t="shared" ca="1" si="44"/>
        <v/>
      </c>
    </row>
    <row r="575" spans="2:27" ht="27.6" customHeight="1">
      <c r="B575">
        <f t="shared" ca="1" si="40"/>
        <v>0</v>
      </c>
      <c r="C575" t="s">
        <v>36</v>
      </c>
      <c r="G575" s="75">
        <v>1</v>
      </c>
      <c r="J575" s="66" t="str">
        <f t="shared" ca="1" si="41"/>
        <v>14%</v>
      </c>
      <c r="K575" t="s">
        <v>59</v>
      </c>
      <c r="L575" s="66" t="str">
        <f t="shared" ca="1" si="42"/>
        <v>Sin costo</v>
      </c>
      <c r="M575" t="s">
        <v>64</v>
      </c>
      <c r="N575" t="s">
        <v>66</v>
      </c>
      <c r="O575" t="s">
        <v>66</v>
      </c>
      <c r="P575" t="s">
        <v>66</v>
      </c>
      <c r="R575" t="s">
        <v>66</v>
      </c>
      <c r="U575" t="s">
        <v>90</v>
      </c>
      <c r="V575" t="s">
        <v>66</v>
      </c>
      <c r="W575" t="s">
        <v>66</v>
      </c>
      <c r="X575" t="s">
        <v>66</v>
      </c>
      <c r="Y575" t="s">
        <v>66</v>
      </c>
      <c r="Z575" s="99" t="str">
        <f t="shared" ca="1" si="43"/>
        <v/>
      </c>
      <c r="AA575" s="101" t="str">
        <f t="shared" ca="1" si="44"/>
        <v/>
      </c>
    </row>
    <row r="576" spans="2:27" ht="27.6" customHeight="1">
      <c r="B576">
        <f t="shared" ca="1" si="40"/>
        <v>0</v>
      </c>
      <c r="C576" t="s">
        <v>36</v>
      </c>
      <c r="G576" s="75">
        <v>1</v>
      </c>
      <c r="J576" s="66" t="str">
        <f t="shared" ca="1" si="41"/>
        <v>14%</v>
      </c>
      <c r="K576" t="s">
        <v>59</v>
      </c>
      <c r="L576" s="66" t="str">
        <f t="shared" ca="1" si="42"/>
        <v>Sin costo</v>
      </c>
      <c r="M576" t="s">
        <v>64</v>
      </c>
      <c r="N576" t="s">
        <v>66</v>
      </c>
      <c r="O576" t="s">
        <v>66</v>
      </c>
      <c r="P576" t="s">
        <v>66</v>
      </c>
      <c r="R576" t="s">
        <v>66</v>
      </c>
      <c r="U576" t="s">
        <v>90</v>
      </c>
      <c r="V576" t="s">
        <v>66</v>
      </c>
      <c r="W576" t="s">
        <v>66</v>
      </c>
      <c r="X576" t="s">
        <v>66</v>
      </c>
      <c r="Y576" t="s">
        <v>66</v>
      </c>
      <c r="Z576" s="99" t="str">
        <f t="shared" ca="1" si="43"/>
        <v/>
      </c>
      <c r="AA576" s="101" t="str">
        <f t="shared" ca="1" si="44"/>
        <v/>
      </c>
    </row>
    <row r="577" spans="2:27" ht="27.6" customHeight="1">
      <c r="B577">
        <f t="shared" ca="1" si="40"/>
        <v>0</v>
      </c>
      <c r="C577" t="s">
        <v>36</v>
      </c>
      <c r="G577" s="75">
        <v>1</v>
      </c>
      <c r="J577" s="66" t="str">
        <f t="shared" ca="1" si="41"/>
        <v>14%</v>
      </c>
      <c r="K577" t="s">
        <v>59</v>
      </c>
      <c r="L577" s="66" t="str">
        <f t="shared" ca="1" si="42"/>
        <v>Sin costo</v>
      </c>
      <c r="M577" t="s">
        <v>64</v>
      </c>
      <c r="N577" t="s">
        <v>66</v>
      </c>
      <c r="O577" t="s">
        <v>66</v>
      </c>
      <c r="P577" t="s">
        <v>66</v>
      </c>
      <c r="R577" t="s">
        <v>66</v>
      </c>
      <c r="U577" t="s">
        <v>90</v>
      </c>
      <c r="V577" t="s">
        <v>66</v>
      </c>
      <c r="W577" t="s">
        <v>66</v>
      </c>
      <c r="X577" t="s">
        <v>66</v>
      </c>
      <c r="Y577" t="s">
        <v>66</v>
      </c>
      <c r="Z577" s="99" t="str">
        <f t="shared" ca="1" si="43"/>
        <v/>
      </c>
      <c r="AA577" s="101" t="str">
        <f t="shared" ca="1" si="44"/>
        <v/>
      </c>
    </row>
    <row r="578" spans="2:27" ht="27.6" customHeight="1">
      <c r="B578">
        <f t="shared" ca="1" si="40"/>
        <v>0</v>
      </c>
      <c r="C578" t="s">
        <v>36</v>
      </c>
      <c r="G578" s="75">
        <v>1</v>
      </c>
      <c r="J578" s="66" t="str">
        <f t="shared" ca="1" si="41"/>
        <v>14%</v>
      </c>
      <c r="K578" t="s">
        <v>59</v>
      </c>
      <c r="L578" s="66" t="str">
        <f t="shared" ca="1" si="42"/>
        <v>Sin costo</v>
      </c>
      <c r="M578" t="s">
        <v>64</v>
      </c>
      <c r="N578" t="s">
        <v>66</v>
      </c>
      <c r="O578" t="s">
        <v>66</v>
      </c>
      <c r="P578" t="s">
        <v>66</v>
      </c>
      <c r="R578" t="s">
        <v>66</v>
      </c>
      <c r="U578" t="s">
        <v>90</v>
      </c>
      <c r="V578" t="s">
        <v>66</v>
      </c>
      <c r="W578" t="s">
        <v>66</v>
      </c>
      <c r="X578" t="s">
        <v>66</v>
      </c>
      <c r="Y578" t="s">
        <v>66</v>
      </c>
      <c r="Z578" s="99" t="str">
        <f t="shared" ca="1" si="43"/>
        <v/>
      </c>
      <c r="AA578" s="101" t="str">
        <f t="shared" ca="1" si="44"/>
        <v/>
      </c>
    </row>
    <row r="579" spans="2:27" ht="27.6" customHeight="1">
      <c r="B579">
        <f t="shared" ca="1" si="40"/>
        <v>0</v>
      </c>
      <c r="C579" t="s">
        <v>36</v>
      </c>
      <c r="G579" s="75">
        <v>1</v>
      </c>
      <c r="J579" s="66" t="str">
        <f t="shared" ca="1" si="41"/>
        <v>14%</v>
      </c>
      <c r="K579" t="s">
        <v>59</v>
      </c>
      <c r="L579" s="66" t="str">
        <f t="shared" ca="1" si="42"/>
        <v>Sin costo</v>
      </c>
      <c r="M579" t="s">
        <v>64</v>
      </c>
      <c r="N579" t="s">
        <v>66</v>
      </c>
      <c r="O579" t="s">
        <v>66</v>
      </c>
      <c r="P579" t="s">
        <v>66</v>
      </c>
      <c r="R579" t="s">
        <v>66</v>
      </c>
      <c r="U579" t="s">
        <v>90</v>
      </c>
      <c r="V579" t="s">
        <v>66</v>
      </c>
      <c r="W579" t="s">
        <v>66</v>
      </c>
      <c r="X579" t="s">
        <v>66</v>
      </c>
      <c r="Y579" t="s">
        <v>66</v>
      </c>
      <c r="Z579" s="99" t="str">
        <f t="shared" ca="1" si="43"/>
        <v/>
      </c>
      <c r="AA579" s="101" t="str">
        <f t="shared" ca="1" si="44"/>
        <v/>
      </c>
    </row>
    <row r="580" spans="2:27" ht="27.6" customHeight="1">
      <c r="B580">
        <f t="shared" ca="1" si="40"/>
        <v>0</v>
      </c>
      <c r="C580" t="s">
        <v>36</v>
      </c>
      <c r="G580" s="75">
        <v>1</v>
      </c>
      <c r="J580" s="66" t="str">
        <f t="shared" ca="1" si="41"/>
        <v>14%</v>
      </c>
      <c r="K580" t="s">
        <v>59</v>
      </c>
      <c r="L580" s="66" t="str">
        <f t="shared" ca="1" si="42"/>
        <v>Sin costo</v>
      </c>
      <c r="M580" t="s">
        <v>64</v>
      </c>
      <c r="N580" t="s">
        <v>66</v>
      </c>
      <c r="O580" t="s">
        <v>66</v>
      </c>
      <c r="P580" t="s">
        <v>66</v>
      </c>
      <c r="R580" t="s">
        <v>66</v>
      </c>
      <c r="U580" t="s">
        <v>90</v>
      </c>
      <c r="V580" t="s">
        <v>66</v>
      </c>
      <c r="W580" t="s">
        <v>66</v>
      </c>
      <c r="X580" t="s">
        <v>66</v>
      </c>
      <c r="Y580" t="s">
        <v>66</v>
      </c>
      <c r="Z580" s="99" t="str">
        <f t="shared" ca="1" si="43"/>
        <v/>
      </c>
      <c r="AA580" s="101" t="str">
        <f t="shared" ca="1" si="44"/>
        <v/>
      </c>
    </row>
    <row r="581" spans="2:27" ht="27.6" customHeight="1">
      <c r="B581">
        <f t="shared" ca="1" si="40"/>
        <v>0</v>
      </c>
      <c r="C581" t="s">
        <v>36</v>
      </c>
      <c r="G581" s="75">
        <v>1</v>
      </c>
      <c r="J581" s="66" t="str">
        <f t="shared" ca="1" si="41"/>
        <v>14%</v>
      </c>
      <c r="K581" t="s">
        <v>59</v>
      </c>
      <c r="L581" s="66" t="str">
        <f t="shared" ca="1" si="42"/>
        <v>Sin costo</v>
      </c>
      <c r="M581" t="s">
        <v>64</v>
      </c>
      <c r="N581" t="s">
        <v>66</v>
      </c>
      <c r="O581" t="s">
        <v>66</v>
      </c>
      <c r="P581" t="s">
        <v>66</v>
      </c>
      <c r="R581" t="s">
        <v>66</v>
      </c>
      <c r="U581" t="s">
        <v>90</v>
      </c>
      <c r="V581" t="s">
        <v>66</v>
      </c>
      <c r="W581" t="s">
        <v>66</v>
      </c>
      <c r="X581" t="s">
        <v>66</v>
      </c>
      <c r="Y581" t="s">
        <v>66</v>
      </c>
      <c r="Z581" s="99" t="str">
        <f t="shared" ca="1" si="43"/>
        <v/>
      </c>
      <c r="AA581" s="101" t="str">
        <f t="shared" ca="1" si="44"/>
        <v/>
      </c>
    </row>
    <row r="582" spans="2:27" ht="27.6" customHeight="1">
      <c r="B582">
        <f t="shared" ca="1" si="40"/>
        <v>0</v>
      </c>
      <c r="C582" t="s">
        <v>36</v>
      </c>
      <c r="G582" s="75">
        <v>1</v>
      </c>
      <c r="J582" s="66" t="str">
        <f t="shared" ca="1" si="41"/>
        <v>14%</v>
      </c>
      <c r="K582" t="s">
        <v>59</v>
      </c>
      <c r="L582" s="66" t="str">
        <f t="shared" ca="1" si="42"/>
        <v>Sin costo</v>
      </c>
      <c r="M582" t="s">
        <v>64</v>
      </c>
      <c r="N582" t="s">
        <v>66</v>
      </c>
      <c r="O582" t="s">
        <v>66</v>
      </c>
      <c r="P582" t="s">
        <v>66</v>
      </c>
      <c r="R582" t="s">
        <v>66</v>
      </c>
      <c r="U582" t="s">
        <v>90</v>
      </c>
      <c r="V582" t="s">
        <v>66</v>
      </c>
      <c r="W582" t="s">
        <v>66</v>
      </c>
      <c r="X582" t="s">
        <v>66</v>
      </c>
      <c r="Y582" t="s">
        <v>66</v>
      </c>
      <c r="Z582" s="99" t="str">
        <f t="shared" ca="1" si="43"/>
        <v/>
      </c>
      <c r="AA582" s="101" t="str">
        <f t="shared" ca="1" si="44"/>
        <v/>
      </c>
    </row>
    <row r="583" spans="2:27" ht="27.6" customHeight="1">
      <c r="B583">
        <f t="shared" ref="B583:B646" ca="1" si="45">LEN(INDIRECT(ADDRESS(ROW() + (0),COLUMN() + (-1))))</f>
        <v>0</v>
      </c>
      <c r="C583" t="s">
        <v>36</v>
      </c>
      <c r="G583" s="75">
        <v>1</v>
      </c>
      <c r="J583" s="66" t="str">
        <f t="shared" ref="J583:J646" ca="1" si="46">IF(INDIRECT(ADDRESS(ROW() + (0),COLUMN() + (1)))="Agregar cuotas", IF(("14%")="", "-", "14%"), IF(INDIRECT(ADDRESS(ROW() + (0),COLUMN() + (1)))="No agregar cuotas", IF(("14%")="", "-", "14%"), "-"))</f>
        <v>14%</v>
      </c>
      <c r="K583" t="s">
        <v>59</v>
      </c>
      <c r="L583" s="66" t="str">
        <f t="shared" ref="L583:L646" ca="1" si="47">IF(INDIRECT(ADDRESS(ROW() + (0),COLUMN() + (-1)))="Agregar cuotas", IF(("13.9%")="", "Sin costo", "13.9%"), IF(INDIRECT(ADDRESS(ROW() + (0),COLUMN() + (-1)))="No agregar cuotas", IF(("")="", "Sin costo", ""), "-"))</f>
        <v>Sin costo</v>
      </c>
      <c r="M583" t="s">
        <v>64</v>
      </c>
      <c r="N583" t="s">
        <v>66</v>
      </c>
      <c r="O583" t="s">
        <v>66</v>
      </c>
      <c r="P583" t="s">
        <v>66</v>
      </c>
      <c r="R583" t="s">
        <v>66</v>
      </c>
      <c r="U583" t="s">
        <v>90</v>
      </c>
      <c r="V583" t="s">
        <v>66</v>
      </c>
      <c r="W583" t="s">
        <v>66</v>
      </c>
      <c r="X583" t="s">
        <v>66</v>
      </c>
      <c r="Y583" t="s">
        <v>66</v>
      </c>
      <c r="Z583" s="99" t="str">
        <f t="shared" ref="Z583:Z646" ca="1" si="4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583" s="101" t="str">
        <f t="shared" ref="AA583:AA646" ca="1" si="49">IF(TRIM(INDIRECT("A"&amp;ROW())) &lt;&gt; "",FALSE,"")</f>
        <v/>
      </c>
    </row>
    <row r="584" spans="2:27" ht="27.6" customHeight="1">
      <c r="B584">
        <f t="shared" ca="1" si="45"/>
        <v>0</v>
      </c>
      <c r="C584" t="s">
        <v>36</v>
      </c>
      <c r="G584" s="75">
        <v>1</v>
      </c>
      <c r="J584" s="66" t="str">
        <f t="shared" ca="1" si="46"/>
        <v>14%</v>
      </c>
      <c r="K584" t="s">
        <v>59</v>
      </c>
      <c r="L584" s="66" t="str">
        <f t="shared" ca="1" si="47"/>
        <v>Sin costo</v>
      </c>
      <c r="M584" t="s">
        <v>64</v>
      </c>
      <c r="N584" t="s">
        <v>66</v>
      </c>
      <c r="O584" t="s">
        <v>66</v>
      </c>
      <c r="P584" t="s">
        <v>66</v>
      </c>
      <c r="R584" t="s">
        <v>66</v>
      </c>
      <c r="U584" t="s">
        <v>90</v>
      </c>
      <c r="V584" t="s">
        <v>66</v>
      </c>
      <c r="W584" t="s">
        <v>66</v>
      </c>
      <c r="X584" t="s">
        <v>66</v>
      </c>
      <c r="Y584" t="s">
        <v>66</v>
      </c>
      <c r="Z584" s="99" t="str">
        <f t="shared" ca="1" si="48"/>
        <v/>
      </c>
      <c r="AA584" s="101" t="str">
        <f t="shared" ca="1" si="49"/>
        <v/>
      </c>
    </row>
    <row r="585" spans="2:27" ht="27.6" customHeight="1">
      <c r="B585">
        <f t="shared" ca="1" si="45"/>
        <v>0</v>
      </c>
      <c r="C585" t="s">
        <v>36</v>
      </c>
      <c r="G585" s="75">
        <v>1</v>
      </c>
      <c r="J585" s="66" t="str">
        <f t="shared" ca="1" si="46"/>
        <v>14%</v>
      </c>
      <c r="K585" t="s">
        <v>59</v>
      </c>
      <c r="L585" s="66" t="str">
        <f t="shared" ca="1" si="47"/>
        <v>Sin costo</v>
      </c>
      <c r="M585" t="s">
        <v>64</v>
      </c>
      <c r="N585" t="s">
        <v>66</v>
      </c>
      <c r="O585" t="s">
        <v>66</v>
      </c>
      <c r="P585" t="s">
        <v>66</v>
      </c>
      <c r="R585" t="s">
        <v>66</v>
      </c>
      <c r="U585" t="s">
        <v>90</v>
      </c>
      <c r="V585" t="s">
        <v>66</v>
      </c>
      <c r="W585" t="s">
        <v>66</v>
      </c>
      <c r="X585" t="s">
        <v>66</v>
      </c>
      <c r="Y585" t="s">
        <v>66</v>
      </c>
      <c r="Z585" s="99" t="str">
        <f t="shared" ca="1" si="48"/>
        <v/>
      </c>
      <c r="AA585" s="101" t="str">
        <f t="shared" ca="1" si="49"/>
        <v/>
      </c>
    </row>
    <row r="586" spans="2:27" ht="27.6" customHeight="1">
      <c r="B586">
        <f t="shared" ca="1" si="45"/>
        <v>0</v>
      </c>
      <c r="C586" t="s">
        <v>36</v>
      </c>
      <c r="G586" s="75">
        <v>1</v>
      </c>
      <c r="J586" s="66" t="str">
        <f t="shared" ca="1" si="46"/>
        <v>14%</v>
      </c>
      <c r="K586" t="s">
        <v>59</v>
      </c>
      <c r="L586" s="66" t="str">
        <f t="shared" ca="1" si="47"/>
        <v>Sin costo</v>
      </c>
      <c r="M586" t="s">
        <v>64</v>
      </c>
      <c r="N586" t="s">
        <v>66</v>
      </c>
      <c r="O586" t="s">
        <v>66</v>
      </c>
      <c r="P586" t="s">
        <v>66</v>
      </c>
      <c r="R586" t="s">
        <v>66</v>
      </c>
      <c r="U586" t="s">
        <v>90</v>
      </c>
      <c r="V586" t="s">
        <v>66</v>
      </c>
      <c r="W586" t="s">
        <v>66</v>
      </c>
      <c r="X586" t="s">
        <v>66</v>
      </c>
      <c r="Y586" t="s">
        <v>66</v>
      </c>
      <c r="Z586" s="99" t="str">
        <f t="shared" ca="1" si="48"/>
        <v/>
      </c>
      <c r="AA586" s="101" t="str">
        <f t="shared" ca="1" si="49"/>
        <v/>
      </c>
    </row>
    <row r="587" spans="2:27" ht="27.6" customHeight="1">
      <c r="B587">
        <f t="shared" ca="1" si="45"/>
        <v>0</v>
      </c>
      <c r="C587" t="s">
        <v>36</v>
      </c>
      <c r="G587" s="75">
        <v>1</v>
      </c>
      <c r="J587" s="66" t="str">
        <f t="shared" ca="1" si="46"/>
        <v>14%</v>
      </c>
      <c r="K587" t="s">
        <v>59</v>
      </c>
      <c r="L587" s="66" t="str">
        <f t="shared" ca="1" si="47"/>
        <v>Sin costo</v>
      </c>
      <c r="M587" t="s">
        <v>64</v>
      </c>
      <c r="N587" t="s">
        <v>66</v>
      </c>
      <c r="O587" t="s">
        <v>66</v>
      </c>
      <c r="P587" t="s">
        <v>66</v>
      </c>
      <c r="R587" t="s">
        <v>66</v>
      </c>
      <c r="U587" t="s">
        <v>90</v>
      </c>
      <c r="V587" t="s">
        <v>66</v>
      </c>
      <c r="W587" t="s">
        <v>66</v>
      </c>
      <c r="X587" t="s">
        <v>66</v>
      </c>
      <c r="Y587" t="s">
        <v>66</v>
      </c>
      <c r="Z587" s="99" t="str">
        <f t="shared" ca="1" si="48"/>
        <v/>
      </c>
      <c r="AA587" s="101" t="str">
        <f t="shared" ca="1" si="49"/>
        <v/>
      </c>
    </row>
    <row r="588" spans="2:27" ht="27.6" customHeight="1">
      <c r="B588">
        <f t="shared" ca="1" si="45"/>
        <v>0</v>
      </c>
      <c r="C588" t="s">
        <v>36</v>
      </c>
      <c r="G588" s="75">
        <v>1</v>
      </c>
      <c r="J588" s="66" t="str">
        <f t="shared" ca="1" si="46"/>
        <v>14%</v>
      </c>
      <c r="K588" t="s">
        <v>59</v>
      </c>
      <c r="L588" s="66" t="str">
        <f t="shared" ca="1" si="47"/>
        <v>Sin costo</v>
      </c>
      <c r="M588" t="s">
        <v>64</v>
      </c>
      <c r="N588" t="s">
        <v>66</v>
      </c>
      <c r="O588" t="s">
        <v>66</v>
      </c>
      <c r="P588" t="s">
        <v>66</v>
      </c>
      <c r="R588" t="s">
        <v>66</v>
      </c>
      <c r="U588" t="s">
        <v>90</v>
      </c>
      <c r="V588" t="s">
        <v>66</v>
      </c>
      <c r="W588" t="s">
        <v>66</v>
      </c>
      <c r="X588" t="s">
        <v>66</v>
      </c>
      <c r="Y588" t="s">
        <v>66</v>
      </c>
      <c r="Z588" s="99" t="str">
        <f t="shared" ca="1" si="48"/>
        <v/>
      </c>
      <c r="AA588" s="101" t="str">
        <f t="shared" ca="1" si="49"/>
        <v/>
      </c>
    </row>
    <row r="589" spans="2:27" ht="27.6" customHeight="1">
      <c r="B589">
        <f t="shared" ca="1" si="45"/>
        <v>0</v>
      </c>
      <c r="C589" t="s">
        <v>36</v>
      </c>
      <c r="G589" s="75">
        <v>1</v>
      </c>
      <c r="J589" s="66" t="str">
        <f t="shared" ca="1" si="46"/>
        <v>14%</v>
      </c>
      <c r="K589" t="s">
        <v>59</v>
      </c>
      <c r="L589" s="66" t="str">
        <f t="shared" ca="1" si="47"/>
        <v>Sin costo</v>
      </c>
      <c r="M589" t="s">
        <v>64</v>
      </c>
      <c r="N589" t="s">
        <v>66</v>
      </c>
      <c r="O589" t="s">
        <v>66</v>
      </c>
      <c r="P589" t="s">
        <v>66</v>
      </c>
      <c r="R589" t="s">
        <v>66</v>
      </c>
      <c r="U589" t="s">
        <v>90</v>
      </c>
      <c r="V589" t="s">
        <v>66</v>
      </c>
      <c r="W589" t="s">
        <v>66</v>
      </c>
      <c r="X589" t="s">
        <v>66</v>
      </c>
      <c r="Y589" t="s">
        <v>66</v>
      </c>
      <c r="Z589" s="99" t="str">
        <f t="shared" ca="1" si="48"/>
        <v/>
      </c>
      <c r="AA589" s="101" t="str">
        <f t="shared" ca="1" si="49"/>
        <v/>
      </c>
    </row>
    <row r="590" spans="2:27" ht="27.6" customHeight="1">
      <c r="B590">
        <f t="shared" ca="1" si="45"/>
        <v>0</v>
      </c>
      <c r="C590" t="s">
        <v>36</v>
      </c>
      <c r="G590" s="75">
        <v>1</v>
      </c>
      <c r="J590" s="66" t="str">
        <f t="shared" ca="1" si="46"/>
        <v>14%</v>
      </c>
      <c r="K590" t="s">
        <v>59</v>
      </c>
      <c r="L590" s="66" t="str">
        <f t="shared" ca="1" si="47"/>
        <v>Sin costo</v>
      </c>
      <c r="M590" t="s">
        <v>64</v>
      </c>
      <c r="N590" t="s">
        <v>66</v>
      </c>
      <c r="O590" t="s">
        <v>66</v>
      </c>
      <c r="P590" t="s">
        <v>66</v>
      </c>
      <c r="R590" t="s">
        <v>66</v>
      </c>
      <c r="U590" t="s">
        <v>90</v>
      </c>
      <c r="V590" t="s">
        <v>66</v>
      </c>
      <c r="W590" t="s">
        <v>66</v>
      </c>
      <c r="X590" t="s">
        <v>66</v>
      </c>
      <c r="Y590" t="s">
        <v>66</v>
      </c>
      <c r="Z590" s="99" t="str">
        <f t="shared" ca="1" si="48"/>
        <v/>
      </c>
      <c r="AA590" s="101" t="str">
        <f t="shared" ca="1" si="49"/>
        <v/>
      </c>
    </row>
    <row r="591" spans="2:27" ht="27.6" customHeight="1">
      <c r="B591">
        <f t="shared" ca="1" si="45"/>
        <v>0</v>
      </c>
      <c r="C591" t="s">
        <v>36</v>
      </c>
      <c r="G591" s="75">
        <v>1</v>
      </c>
      <c r="J591" s="66" t="str">
        <f t="shared" ca="1" si="46"/>
        <v>14%</v>
      </c>
      <c r="K591" t="s">
        <v>59</v>
      </c>
      <c r="L591" s="66" t="str">
        <f t="shared" ca="1" si="47"/>
        <v>Sin costo</v>
      </c>
      <c r="M591" t="s">
        <v>64</v>
      </c>
      <c r="N591" t="s">
        <v>66</v>
      </c>
      <c r="O591" t="s">
        <v>66</v>
      </c>
      <c r="P591" t="s">
        <v>66</v>
      </c>
      <c r="R591" t="s">
        <v>66</v>
      </c>
      <c r="U591" t="s">
        <v>90</v>
      </c>
      <c r="V591" t="s">
        <v>66</v>
      </c>
      <c r="W591" t="s">
        <v>66</v>
      </c>
      <c r="X591" t="s">
        <v>66</v>
      </c>
      <c r="Y591" t="s">
        <v>66</v>
      </c>
      <c r="Z591" s="99" t="str">
        <f t="shared" ca="1" si="48"/>
        <v/>
      </c>
      <c r="AA591" s="101" t="str">
        <f t="shared" ca="1" si="49"/>
        <v/>
      </c>
    </row>
    <row r="592" spans="2:27" ht="27.6" customHeight="1">
      <c r="B592">
        <f t="shared" ca="1" si="45"/>
        <v>0</v>
      </c>
      <c r="C592" t="s">
        <v>36</v>
      </c>
      <c r="G592" s="75">
        <v>1</v>
      </c>
      <c r="J592" s="66" t="str">
        <f t="shared" ca="1" si="46"/>
        <v>14%</v>
      </c>
      <c r="K592" t="s">
        <v>59</v>
      </c>
      <c r="L592" s="66" t="str">
        <f t="shared" ca="1" si="47"/>
        <v>Sin costo</v>
      </c>
      <c r="M592" t="s">
        <v>64</v>
      </c>
      <c r="N592" t="s">
        <v>66</v>
      </c>
      <c r="O592" t="s">
        <v>66</v>
      </c>
      <c r="P592" t="s">
        <v>66</v>
      </c>
      <c r="R592" t="s">
        <v>66</v>
      </c>
      <c r="U592" t="s">
        <v>90</v>
      </c>
      <c r="V592" t="s">
        <v>66</v>
      </c>
      <c r="W592" t="s">
        <v>66</v>
      </c>
      <c r="X592" t="s">
        <v>66</v>
      </c>
      <c r="Y592" t="s">
        <v>66</v>
      </c>
      <c r="Z592" s="99" t="str">
        <f t="shared" ca="1" si="48"/>
        <v/>
      </c>
      <c r="AA592" s="101" t="str">
        <f t="shared" ca="1" si="49"/>
        <v/>
      </c>
    </row>
    <row r="593" spans="2:27" ht="27.6" customHeight="1">
      <c r="B593">
        <f t="shared" ca="1" si="45"/>
        <v>0</v>
      </c>
      <c r="C593" t="s">
        <v>36</v>
      </c>
      <c r="G593" s="75">
        <v>1</v>
      </c>
      <c r="J593" s="66" t="str">
        <f t="shared" ca="1" si="46"/>
        <v>14%</v>
      </c>
      <c r="K593" t="s">
        <v>59</v>
      </c>
      <c r="L593" s="66" t="str">
        <f t="shared" ca="1" si="47"/>
        <v>Sin costo</v>
      </c>
      <c r="M593" t="s">
        <v>64</v>
      </c>
      <c r="N593" t="s">
        <v>66</v>
      </c>
      <c r="O593" t="s">
        <v>66</v>
      </c>
      <c r="P593" t="s">
        <v>66</v>
      </c>
      <c r="R593" t="s">
        <v>66</v>
      </c>
      <c r="U593" t="s">
        <v>90</v>
      </c>
      <c r="V593" t="s">
        <v>66</v>
      </c>
      <c r="W593" t="s">
        <v>66</v>
      </c>
      <c r="X593" t="s">
        <v>66</v>
      </c>
      <c r="Y593" t="s">
        <v>66</v>
      </c>
      <c r="Z593" s="99" t="str">
        <f t="shared" ca="1" si="48"/>
        <v/>
      </c>
      <c r="AA593" s="101" t="str">
        <f t="shared" ca="1" si="49"/>
        <v/>
      </c>
    </row>
    <row r="594" spans="2:27" ht="27.6" customHeight="1">
      <c r="B594">
        <f t="shared" ca="1" si="45"/>
        <v>0</v>
      </c>
      <c r="C594" t="s">
        <v>36</v>
      </c>
      <c r="G594" s="75">
        <v>1</v>
      </c>
      <c r="J594" s="66" t="str">
        <f t="shared" ca="1" si="46"/>
        <v>14%</v>
      </c>
      <c r="K594" t="s">
        <v>59</v>
      </c>
      <c r="L594" s="66" t="str">
        <f t="shared" ca="1" si="47"/>
        <v>Sin costo</v>
      </c>
      <c r="M594" t="s">
        <v>64</v>
      </c>
      <c r="N594" t="s">
        <v>66</v>
      </c>
      <c r="O594" t="s">
        <v>66</v>
      </c>
      <c r="P594" t="s">
        <v>66</v>
      </c>
      <c r="R594" t="s">
        <v>66</v>
      </c>
      <c r="U594" t="s">
        <v>90</v>
      </c>
      <c r="V594" t="s">
        <v>66</v>
      </c>
      <c r="W594" t="s">
        <v>66</v>
      </c>
      <c r="X594" t="s">
        <v>66</v>
      </c>
      <c r="Y594" t="s">
        <v>66</v>
      </c>
      <c r="Z594" s="99" t="str">
        <f t="shared" ca="1" si="48"/>
        <v/>
      </c>
      <c r="AA594" s="101" t="str">
        <f t="shared" ca="1" si="49"/>
        <v/>
      </c>
    </row>
    <row r="595" spans="2:27" ht="27.6" customHeight="1">
      <c r="B595">
        <f t="shared" ca="1" si="45"/>
        <v>0</v>
      </c>
      <c r="C595" t="s">
        <v>36</v>
      </c>
      <c r="G595" s="75">
        <v>1</v>
      </c>
      <c r="J595" s="66" t="str">
        <f t="shared" ca="1" si="46"/>
        <v>14%</v>
      </c>
      <c r="K595" t="s">
        <v>59</v>
      </c>
      <c r="L595" s="66" t="str">
        <f t="shared" ca="1" si="47"/>
        <v>Sin costo</v>
      </c>
      <c r="M595" t="s">
        <v>64</v>
      </c>
      <c r="N595" t="s">
        <v>66</v>
      </c>
      <c r="O595" t="s">
        <v>66</v>
      </c>
      <c r="P595" t="s">
        <v>66</v>
      </c>
      <c r="R595" t="s">
        <v>66</v>
      </c>
      <c r="U595" t="s">
        <v>90</v>
      </c>
      <c r="V595" t="s">
        <v>66</v>
      </c>
      <c r="W595" t="s">
        <v>66</v>
      </c>
      <c r="X595" t="s">
        <v>66</v>
      </c>
      <c r="Y595" t="s">
        <v>66</v>
      </c>
      <c r="Z595" s="99" t="str">
        <f t="shared" ca="1" si="48"/>
        <v/>
      </c>
      <c r="AA595" s="101" t="str">
        <f t="shared" ca="1" si="49"/>
        <v/>
      </c>
    </row>
    <row r="596" spans="2:27" ht="27.6" customHeight="1">
      <c r="B596">
        <f t="shared" ca="1" si="45"/>
        <v>0</v>
      </c>
      <c r="C596" t="s">
        <v>36</v>
      </c>
      <c r="G596" s="75">
        <v>1</v>
      </c>
      <c r="J596" s="66" t="str">
        <f t="shared" ca="1" si="46"/>
        <v>14%</v>
      </c>
      <c r="K596" t="s">
        <v>59</v>
      </c>
      <c r="L596" s="66" t="str">
        <f t="shared" ca="1" si="47"/>
        <v>Sin costo</v>
      </c>
      <c r="M596" t="s">
        <v>64</v>
      </c>
      <c r="N596" t="s">
        <v>66</v>
      </c>
      <c r="O596" t="s">
        <v>66</v>
      </c>
      <c r="P596" t="s">
        <v>66</v>
      </c>
      <c r="R596" t="s">
        <v>66</v>
      </c>
      <c r="U596" t="s">
        <v>90</v>
      </c>
      <c r="V596" t="s">
        <v>66</v>
      </c>
      <c r="W596" t="s">
        <v>66</v>
      </c>
      <c r="X596" t="s">
        <v>66</v>
      </c>
      <c r="Y596" t="s">
        <v>66</v>
      </c>
      <c r="Z596" s="99" t="str">
        <f t="shared" ca="1" si="48"/>
        <v/>
      </c>
      <c r="AA596" s="101" t="str">
        <f t="shared" ca="1" si="49"/>
        <v/>
      </c>
    </row>
    <row r="597" spans="2:27" ht="27.6" customHeight="1">
      <c r="B597">
        <f t="shared" ca="1" si="45"/>
        <v>0</v>
      </c>
      <c r="C597" t="s">
        <v>36</v>
      </c>
      <c r="G597" s="75">
        <v>1</v>
      </c>
      <c r="J597" s="66" t="str">
        <f t="shared" ca="1" si="46"/>
        <v>14%</v>
      </c>
      <c r="K597" t="s">
        <v>59</v>
      </c>
      <c r="L597" s="66" t="str">
        <f t="shared" ca="1" si="47"/>
        <v>Sin costo</v>
      </c>
      <c r="M597" t="s">
        <v>64</v>
      </c>
      <c r="N597" t="s">
        <v>66</v>
      </c>
      <c r="O597" t="s">
        <v>66</v>
      </c>
      <c r="P597" t="s">
        <v>66</v>
      </c>
      <c r="R597" t="s">
        <v>66</v>
      </c>
      <c r="U597" t="s">
        <v>90</v>
      </c>
      <c r="V597" t="s">
        <v>66</v>
      </c>
      <c r="W597" t="s">
        <v>66</v>
      </c>
      <c r="X597" t="s">
        <v>66</v>
      </c>
      <c r="Y597" t="s">
        <v>66</v>
      </c>
      <c r="Z597" s="99" t="str">
        <f t="shared" ca="1" si="48"/>
        <v/>
      </c>
      <c r="AA597" s="101" t="str">
        <f t="shared" ca="1" si="49"/>
        <v/>
      </c>
    </row>
    <row r="598" spans="2:27" ht="27.6" customHeight="1">
      <c r="B598">
        <f t="shared" ca="1" si="45"/>
        <v>0</v>
      </c>
      <c r="C598" t="s">
        <v>36</v>
      </c>
      <c r="G598" s="75">
        <v>1</v>
      </c>
      <c r="J598" s="66" t="str">
        <f t="shared" ca="1" si="46"/>
        <v>14%</v>
      </c>
      <c r="K598" t="s">
        <v>59</v>
      </c>
      <c r="L598" s="66" t="str">
        <f t="shared" ca="1" si="47"/>
        <v>Sin costo</v>
      </c>
      <c r="M598" t="s">
        <v>64</v>
      </c>
      <c r="N598" t="s">
        <v>66</v>
      </c>
      <c r="O598" t="s">
        <v>66</v>
      </c>
      <c r="P598" t="s">
        <v>66</v>
      </c>
      <c r="R598" t="s">
        <v>66</v>
      </c>
      <c r="U598" t="s">
        <v>90</v>
      </c>
      <c r="V598" t="s">
        <v>66</v>
      </c>
      <c r="W598" t="s">
        <v>66</v>
      </c>
      <c r="X598" t="s">
        <v>66</v>
      </c>
      <c r="Y598" t="s">
        <v>66</v>
      </c>
      <c r="Z598" s="99" t="str">
        <f t="shared" ca="1" si="48"/>
        <v/>
      </c>
      <c r="AA598" s="101" t="str">
        <f t="shared" ca="1" si="49"/>
        <v/>
      </c>
    </row>
    <row r="599" spans="2:27" ht="27.6" customHeight="1">
      <c r="B599">
        <f t="shared" ca="1" si="45"/>
        <v>0</v>
      </c>
      <c r="C599" t="s">
        <v>36</v>
      </c>
      <c r="G599" s="75">
        <v>1</v>
      </c>
      <c r="J599" s="66" t="str">
        <f t="shared" ca="1" si="46"/>
        <v>14%</v>
      </c>
      <c r="K599" t="s">
        <v>59</v>
      </c>
      <c r="L599" s="66" t="str">
        <f t="shared" ca="1" si="47"/>
        <v>Sin costo</v>
      </c>
      <c r="M599" t="s">
        <v>64</v>
      </c>
      <c r="N599" t="s">
        <v>66</v>
      </c>
      <c r="O599" t="s">
        <v>66</v>
      </c>
      <c r="P599" t="s">
        <v>66</v>
      </c>
      <c r="R599" t="s">
        <v>66</v>
      </c>
      <c r="U599" t="s">
        <v>90</v>
      </c>
      <c r="V599" t="s">
        <v>66</v>
      </c>
      <c r="W599" t="s">
        <v>66</v>
      </c>
      <c r="X599" t="s">
        <v>66</v>
      </c>
      <c r="Y599" t="s">
        <v>66</v>
      </c>
      <c r="Z599" s="99" t="str">
        <f t="shared" ca="1" si="48"/>
        <v/>
      </c>
      <c r="AA599" s="101" t="str">
        <f t="shared" ca="1" si="49"/>
        <v/>
      </c>
    </row>
    <row r="600" spans="2:27" ht="27.6" customHeight="1">
      <c r="B600">
        <f t="shared" ca="1" si="45"/>
        <v>0</v>
      </c>
      <c r="C600" t="s">
        <v>36</v>
      </c>
      <c r="G600" s="75">
        <v>1</v>
      </c>
      <c r="J600" s="66" t="str">
        <f t="shared" ca="1" si="46"/>
        <v>14%</v>
      </c>
      <c r="K600" t="s">
        <v>59</v>
      </c>
      <c r="L600" s="66" t="str">
        <f t="shared" ca="1" si="47"/>
        <v>Sin costo</v>
      </c>
      <c r="M600" t="s">
        <v>64</v>
      </c>
      <c r="N600" t="s">
        <v>66</v>
      </c>
      <c r="O600" t="s">
        <v>66</v>
      </c>
      <c r="P600" t="s">
        <v>66</v>
      </c>
      <c r="R600" t="s">
        <v>66</v>
      </c>
      <c r="U600" t="s">
        <v>90</v>
      </c>
      <c r="V600" t="s">
        <v>66</v>
      </c>
      <c r="W600" t="s">
        <v>66</v>
      </c>
      <c r="X600" t="s">
        <v>66</v>
      </c>
      <c r="Y600" t="s">
        <v>66</v>
      </c>
      <c r="Z600" s="99" t="str">
        <f t="shared" ca="1" si="48"/>
        <v/>
      </c>
      <c r="AA600" s="101" t="str">
        <f t="shared" ca="1" si="49"/>
        <v/>
      </c>
    </row>
    <row r="601" spans="2:27" ht="27.6" customHeight="1">
      <c r="B601">
        <f t="shared" ca="1" si="45"/>
        <v>0</v>
      </c>
      <c r="C601" t="s">
        <v>36</v>
      </c>
      <c r="G601" s="75">
        <v>1</v>
      </c>
      <c r="J601" s="66" t="str">
        <f t="shared" ca="1" si="46"/>
        <v>14%</v>
      </c>
      <c r="K601" t="s">
        <v>59</v>
      </c>
      <c r="L601" s="66" t="str">
        <f t="shared" ca="1" si="47"/>
        <v>Sin costo</v>
      </c>
      <c r="M601" t="s">
        <v>64</v>
      </c>
      <c r="N601" t="s">
        <v>66</v>
      </c>
      <c r="O601" t="s">
        <v>66</v>
      </c>
      <c r="P601" t="s">
        <v>66</v>
      </c>
      <c r="R601" t="s">
        <v>66</v>
      </c>
      <c r="U601" t="s">
        <v>90</v>
      </c>
      <c r="V601" t="s">
        <v>66</v>
      </c>
      <c r="W601" t="s">
        <v>66</v>
      </c>
      <c r="X601" t="s">
        <v>66</v>
      </c>
      <c r="Y601" t="s">
        <v>66</v>
      </c>
      <c r="Z601" s="99" t="str">
        <f t="shared" ca="1" si="48"/>
        <v/>
      </c>
      <c r="AA601" s="101" t="str">
        <f t="shared" ca="1" si="49"/>
        <v/>
      </c>
    </row>
    <row r="602" spans="2:27" ht="27.6" customHeight="1">
      <c r="B602">
        <f t="shared" ca="1" si="45"/>
        <v>0</v>
      </c>
      <c r="C602" t="s">
        <v>36</v>
      </c>
      <c r="G602" s="75">
        <v>1</v>
      </c>
      <c r="J602" s="66" t="str">
        <f t="shared" ca="1" si="46"/>
        <v>14%</v>
      </c>
      <c r="K602" t="s">
        <v>59</v>
      </c>
      <c r="L602" s="66" t="str">
        <f t="shared" ca="1" si="47"/>
        <v>Sin costo</v>
      </c>
      <c r="M602" t="s">
        <v>64</v>
      </c>
      <c r="N602" t="s">
        <v>66</v>
      </c>
      <c r="O602" t="s">
        <v>66</v>
      </c>
      <c r="P602" t="s">
        <v>66</v>
      </c>
      <c r="R602" t="s">
        <v>66</v>
      </c>
      <c r="U602" t="s">
        <v>90</v>
      </c>
      <c r="V602" t="s">
        <v>66</v>
      </c>
      <c r="W602" t="s">
        <v>66</v>
      </c>
      <c r="X602" t="s">
        <v>66</v>
      </c>
      <c r="Y602" t="s">
        <v>66</v>
      </c>
      <c r="Z602" s="99" t="str">
        <f t="shared" ca="1" si="48"/>
        <v/>
      </c>
      <c r="AA602" s="101" t="str">
        <f t="shared" ca="1" si="49"/>
        <v/>
      </c>
    </row>
    <row r="603" spans="2:27" ht="27.6" customHeight="1">
      <c r="B603">
        <f t="shared" ca="1" si="45"/>
        <v>0</v>
      </c>
      <c r="C603" t="s">
        <v>36</v>
      </c>
      <c r="G603" s="75">
        <v>1</v>
      </c>
      <c r="J603" s="66" t="str">
        <f t="shared" ca="1" si="46"/>
        <v>14%</v>
      </c>
      <c r="K603" t="s">
        <v>59</v>
      </c>
      <c r="L603" s="66" t="str">
        <f t="shared" ca="1" si="47"/>
        <v>Sin costo</v>
      </c>
      <c r="M603" t="s">
        <v>64</v>
      </c>
      <c r="N603" t="s">
        <v>66</v>
      </c>
      <c r="O603" t="s">
        <v>66</v>
      </c>
      <c r="P603" t="s">
        <v>66</v>
      </c>
      <c r="R603" t="s">
        <v>66</v>
      </c>
      <c r="U603" t="s">
        <v>90</v>
      </c>
      <c r="V603" t="s">
        <v>66</v>
      </c>
      <c r="W603" t="s">
        <v>66</v>
      </c>
      <c r="X603" t="s">
        <v>66</v>
      </c>
      <c r="Y603" t="s">
        <v>66</v>
      </c>
      <c r="Z603" s="99" t="str">
        <f t="shared" ca="1" si="48"/>
        <v/>
      </c>
      <c r="AA603" s="101" t="str">
        <f t="shared" ca="1" si="49"/>
        <v/>
      </c>
    </row>
    <row r="604" spans="2:27" ht="27.6" customHeight="1">
      <c r="B604">
        <f t="shared" ca="1" si="45"/>
        <v>0</v>
      </c>
      <c r="C604" t="s">
        <v>36</v>
      </c>
      <c r="G604" s="75">
        <v>1</v>
      </c>
      <c r="J604" s="66" t="str">
        <f t="shared" ca="1" si="46"/>
        <v>14%</v>
      </c>
      <c r="K604" t="s">
        <v>59</v>
      </c>
      <c r="L604" s="66" t="str">
        <f t="shared" ca="1" si="47"/>
        <v>Sin costo</v>
      </c>
      <c r="M604" t="s">
        <v>64</v>
      </c>
      <c r="N604" t="s">
        <v>66</v>
      </c>
      <c r="O604" t="s">
        <v>66</v>
      </c>
      <c r="P604" t="s">
        <v>66</v>
      </c>
      <c r="R604" t="s">
        <v>66</v>
      </c>
      <c r="U604" t="s">
        <v>90</v>
      </c>
      <c r="V604" t="s">
        <v>66</v>
      </c>
      <c r="W604" t="s">
        <v>66</v>
      </c>
      <c r="X604" t="s">
        <v>66</v>
      </c>
      <c r="Y604" t="s">
        <v>66</v>
      </c>
      <c r="Z604" s="99" t="str">
        <f t="shared" ca="1" si="48"/>
        <v/>
      </c>
      <c r="AA604" s="101" t="str">
        <f t="shared" ca="1" si="49"/>
        <v/>
      </c>
    </row>
    <row r="605" spans="2:27" ht="27.6" customHeight="1">
      <c r="B605">
        <f t="shared" ca="1" si="45"/>
        <v>0</v>
      </c>
      <c r="C605" t="s">
        <v>36</v>
      </c>
      <c r="G605" s="75">
        <v>1</v>
      </c>
      <c r="J605" s="66" t="str">
        <f t="shared" ca="1" si="46"/>
        <v>14%</v>
      </c>
      <c r="K605" t="s">
        <v>59</v>
      </c>
      <c r="L605" s="66" t="str">
        <f t="shared" ca="1" si="47"/>
        <v>Sin costo</v>
      </c>
      <c r="M605" t="s">
        <v>64</v>
      </c>
      <c r="N605" t="s">
        <v>66</v>
      </c>
      <c r="O605" t="s">
        <v>66</v>
      </c>
      <c r="P605" t="s">
        <v>66</v>
      </c>
      <c r="R605" t="s">
        <v>66</v>
      </c>
      <c r="U605" t="s">
        <v>90</v>
      </c>
      <c r="V605" t="s">
        <v>66</v>
      </c>
      <c r="W605" t="s">
        <v>66</v>
      </c>
      <c r="X605" t="s">
        <v>66</v>
      </c>
      <c r="Y605" t="s">
        <v>66</v>
      </c>
      <c r="Z605" s="99" t="str">
        <f t="shared" ca="1" si="48"/>
        <v/>
      </c>
      <c r="AA605" s="101" t="str">
        <f t="shared" ca="1" si="49"/>
        <v/>
      </c>
    </row>
    <row r="606" spans="2:27" ht="27.6" customHeight="1">
      <c r="B606">
        <f t="shared" ca="1" si="45"/>
        <v>0</v>
      </c>
      <c r="C606" t="s">
        <v>36</v>
      </c>
      <c r="G606" s="75">
        <v>1</v>
      </c>
      <c r="J606" s="66" t="str">
        <f t="shared" ca="1" si="46"/>
        <v>14%</v>
      </c>
      <c r="K606" t="s">
        <v>59</v>
      </c>
      <c r="L606" s="66" t="str">
        <f t="shared" ca="1" si="47"/>
        <v>Sin costo</v>
      </c>
      <c r="M606" t="s">
        <v>64</v>
      </c>
      <c r="N606" t="s">
        <v>66</v>
      </c>
      <c r="O606" t="s">
        <v>66</v>
      </c>
      <c r="P606" t="s">
        <v>66</v>
      </c>
      <c r="R606" t="s">
        <v>66</v>
      </c>
      <c r="U606" t="s">
        <v>90</v>
      </c>
      <c r="V606" t="s">
        <v>66</v>
      </c>
      <c r="W606" t="s">
        <v>66</v>
      </c>
      <c r="X606" t="s">
        <v>66</v>
      </c>
      <c r="Y606" t="s">
        <v>66</v>
      </c>
      <c r="Z606" s="99" t="str">
        <f t="shared" ca="1" si="48"/>
        <v/>
      </c>
      <c r="AA606" s="101" t="str">
        <f t="shared" ca="1" si="49"/>
        <v/>
      </c>
    </row>
    <row r="607" spans="2:27" ht="27.6" customHeight="1">
      <c r="B607">
        <f t="shared" ca="1" si="45"/>
        <v>0</v>
      </c>
      <c r="C607" t="s">
        <v>36</v>
      </c>
      <c r="G607" s="75">
        <v>1</v>
      </c>
      <c r="J607" s="66" t="str">
        <f t="shared" ca="1" si="46"/>
        <v>14%</v>
      </c>
      <c r="K607" t="s">
        <v>59</v>
      </c>
      <c r="L607" s="66" t="str">
        <f t="shared" ca="1" si="47"/>
        <v>Sin costo</v>
      </c>
      <c r="M607" t="s">
        <v>64</v>
      </c>
      <c r="N607" t="s">
        <v>66</v>
      </c>
      <c r="O607" t="s">
        <v>66</v>
      </c>
      <c r="P607" t="s">
        <v>66</v>
      </c>
      <c r="R607" t="s">
        <v>66</v>
      </c>
      <c r="U607" t="s">
        <v>90</v>
      </c>
      <c r="V607" t="s">
        <v>66</v>
      </c>
      <c r="W607" t="s">
        <v>66</v>
      </c>
      <c r="X607" t="s">
        <v>66</v>
      </c>
      <c r="Y607" t="s">
        <v>66</v>
      </c>
      <c r="Z607" s="99" t="str">
        <f t="shared" ca="1" si="48"/>
        <v/>
      </c>
      <c r="AA607" s="101" t="str">
        <f t="shared" ca="1" si="49"/>
        <v/>
      </c>
    </row>
    <row r="608" spans="2:27" ht="27.6" customHeight="1">
      <c r="B608">
        <f t="shared" ca="1" si="45"/>
        <v>0</v>
      </c>
      <c r="C608" t="s">
        <v>36</v>
      </c>
      <c r="G608" s="75">
        <v>1</v>
      </c>
      <c r="J608" s="66" t="str">
        <f t="shared" ca="1" si="46"/>
        <v>14%</v>
      </c>
      <c r="K608" t="s">
        <v>59</v>
      </c>
      <c r="L608" s="66" t="str">
        <f t="shared" ca="1" si="47"/>
        <v>Sin costo</v>
      </c>
      <c r="M608" t="s">
        <v>64</v>
      </c>
      <c r="N608" t="s">
        <v>66</v>
      </c>
      <c r="O608" t="s">
        <v>66</v>
      </c>
      <c r="P608" t="s">
        <v>66</v>
      </c>
      <c r="R608" t="s">
        <v>66</v>
      </c>
      <c r="U608" t="s">
        <v>90</v>
      </c>
      <c r="V608" t="s">
        <v>66</v>
      </c>
      <c r="W608" t="s">
        <v>66</v>
      </c>
      <c r="X608" t="s">
        <v>66</v>
      </c>
      <c r="Y608" t="s">
        <v>66</v>
      </c>
      <c r="Z608" s="99" t="str">
        <f t="shared" ca="1" si="48"/>
        <v/>
      </c>
      <c r="AA608" s="101" t="str">
        <f t="shared" ca="1" si="49"/>
        <v/>
      </c>
    </row>
    <row r="609" spans="2:27" ht="27.6" customHeight="1">
      <c r="B609">
        <f t="shared" ca="1" si="45"/>
        <v>0</v>
      </c>
      <c r="C609" t="s">
        <v>36</v>
      </c>
      <c r="G609" s="75">
        <v>1</v>
      </c>
      <c r="J609" s="66" t="str">
        <f t="shared" ca="1" si="46"/>
        <v>14%</v>
      </c>
      <c r="K609" t="s">
        <v>59</v>
      </c>
      <c r="L609" s="66" t="str">
        <f t="shared" ca="1" si="47"/>
        <v>Sin costo</v>
      </c>
      <c r="M609" t="s">
        <v>64</v>
      </c>
      <c r="N609" t="s">
        <v>66</v>
      </c>
      <c r="O609" t="s">
        <v>66</v>
      </c>
      <c r="P609" t="s">
        <v>66</v>
      </c>
      <c r="R609" t="s">
        <v>66</v>
      </c>
      <c r="U609" t="s">
        <v>90</v>
      </c>
      <c r="V609" t="s">
        <v>66</v>
      </c>
      <c r="W609" t="s">
        <v>66</v>
      </c>
      <c r="X609" t="s">
        <v>66</v>
      </c>
      <c r="Y609" t="s">
        <v>66</v>
      </c>
      <c r="Z609" s="99" t="str">
        <f t="shared" ca="1" si="48"/>
        <v/>
      </c>
      <c r="AA609" s="101" t="str">
        <f t="shared" ca="1" si="49"/>
        <v/>
      </c>
    </row>
    <row r="610" spans="2:27" ht="27.6" customHeight="1">
      <c r="B610">
        <f t="shared" ca="1" si="45"/>
        <v>0</v>
      </c>
      <c r="C610" t="s">
        <v>36</v>
      </c>
      <c r="G610" s="75">
        <v>1</v>
      </c>
      <c r="J610" s="66" t="str">
        <f t="shared" ca="1" si="46"/>
        <v>14%</v>
      </c>
      <c r="K610" t="s">
        <v>59</v>
      </c>
      <c r="L610" s="66" t="str">
        <f t="shared" ca="1" si="47"/>
        <v>Sin costo</v>
      </c>
      <c r="M610" t="s">
        <v>64</v>
      </c>
      <c r="N610" t="s">
        <v>66</v>
      </c>
      <c r="O610" t="s">
        <v>66</v>
      </c>
      <c r="P610" t="s">
        <v>66</v>
      </c>
      <c r="R610" t="s">
        <v>66</v>
      </c>
      <c r="U610" t="s">
        <v>90</v>
      </c>
      <c r="V610" t="s">
        <v>66</v>
      </c>
      <c r="W610" t="s">
        <v>66</v>
      </c>
      <c r="X610" t="s">
        <v>66</v>
      </c>
      <c r="Y610" t="s">
        <v>66</v>
      </c>
      <c r="Z610" s="99" t="str">
        <f t="shared" ca="1" si="48"/>
        <v/>
      </c>
      <c r="AA610" s="101" t="str">
        <f t="shared" ca="1" si="49"/>
        <v/>
      </c>
    </row>
    <row r="611" spans="2:27" ht="27.6" customHeight="1">
      <c r="B611">
        <f t="shared" ca="1" si="45"/>
        <v>0</v>
      </c>
      <c r="C611" t="s">
        <v>36</v>
      </c>
      <c r="G611" s="75">
        <v>1</v>
      </c>
      <c r="J611" s="66" t="str">
        <f t="shared" ca="1" si="46"/>
        <v>14%</v>
      </c>
      <c r="K611" t="s">
        <v>59</v>
      </c>
      <c r="L611" s="66" t="str">
        <f t="shared" ca="1" si="47"/>
        <v>Sin costo</v>
      </c>
      <c r="M611" t="s">
        <v>64</v>
      </c>
      <c r="N611" t="s">
        <v>66</v>
      </c>
      <c r="O611" t="s">
        <v>66</v>
      </c>
      <c r="P611" t="s">
        <v>66</v>
      </c>
      <c r="R611" t="s">
        <v>66</v>
      </c>
      <c r="U611" t="s">
        <v>90</v>
      </c>
      <c r="V611" t="s">
        <v>66</v>
      </c>
      <c r="W611" t="s">
        <v>66</v>
      </c>
      <c r="X611" t="s">
        <v>66</v>
      </c>
      <c r="Y611" t="s">
        <v>66</v>
      </c>
      <c r="Z611" s="99" t="str">
        <f t="shared" ca="1" si="48"/>
        <v/>
      </c>
      <c r="AA611" s="101" t="str">
        <f t="shared" ca="1" si="49"/>
        <v/>
      </c>
    </row>
    <row r="612" spans="2:27" ht="27.6" customHeight="1">
      <c r="B612">
        <f t="shared" ca="1" si="45"/>
        <v>0</v>
      </c>
      <c r="C612" t="s">
        <v>36</v>
      </c>
      <c r="G612" s="75">
        <v>1</v>
      </c>
      <c r="J612" s="66" t="str">
        <f t="shared" ca="1" si="46"/>
        <v>14%</v>
      </c>
      <c r="K612" t="s">
        <v>59</v>
      </c>
      <c r="L612" s="66" t="str">
        <f t="shared" ca="1" si="47"/>
        <v>Sin costo</v>
      </c>
      <c r="M612" t="s">
        <v>64</v>
      </c>
      <c r="N612" t="s">
        <v>66</v>
      </c>
      <c r="O612" t="s">
        <v>66</v>
      </c>
      <c r="P612" t="s">
        <v>66</v>
      </c>
      <c r="R612" t="s">
        <v>66</v>
      </c>
      <c r="U612" t="s">
        <v>90</v>
      </c>
      <c r="V612" t="s">
        <v>66</v>
      </c>
      <c r="W612" t="s">
        <v>66</v>
      </c>
      <c r="X612" t="s">
        <v>66</v>
      </c>
      <c r="Y612" t="s">
        <v>66</v>
      </c>
      <c r="Z612" s="99" t="str">
        <f t="shared" ca="1" si="48"/>
        <v/>
      </c>
      <c r="AA612" s="101" t="str">
        <f t="shared" ca="1" si="49"/>
        <v/>
      </c>
    </row>
    <row r="613" spans="2:27" ht="27.6" customHeight="1">
      <c r="B613">
        <f t="shared" ca="1" si="45"/>
        <v>0</v>
      </c>
      <c r="C613" t="s">
        <v>36</v>
      </c>
      <c r="G613" s="75">
        <v>1</v>
      </c>
      <c r="J613" s="66" t="str">
        <f t="shared" ca="1" si="46"/>
        <v>14%</v>
      </c>
      <c r="K613" t="s">
        <v>59</v>
      </c>
      <c r="L613" s="66" t="str">
        <f t="shared" ca="1" si="47"/>
        <v>Sin costo</v>
      </c>
      <c r="M613" t="s">
        <v>64</v>
      </c>
      <c r="N613" t="s">
        <v>66</v>
      </c>
      <c r="O613" t="s">
        <v>66</v>
      </c>
      <c r="P613" t="s">
        <v>66</v>
      </c>
      <c r="R613" t="s">
        <v>66</v>
      </c>
      <c r="U613" t="s">
        <v>90</v>
      </c>
      <c r="V613" t="s">
        <v>66</v>
      </c>
      <c r="W613" t="s">
        <v>66</v>
      </c>
      <c r="X613" t="s">
        <v>66</v>
      </c>
      <c r="Y613" t="s">
        <v>66</v>
      </c>
      <c r="Z613" s="99" t="str">
        <f t="shared" ca="1" si="48"/>
        <v/>
      </c>
      <c r="AA613" s="101" t="str">
        <f t="shared" ca="1" si="49"/>
        <v/>
      </c>
    </row>
    <row r="614" spans="2:27" ht="27.6" customHeight="1">
      <c r="B614">
        <f t="shared" ca="1" si="45"/>
        <v>0</v>
      </c>
      <c r="C614" t="s">
        <v>36</v>
      </c>
      <c r="G614" s="75">
        <v>1</v>
      </c>
      <c r="J614" s="66" t="str">
        <f t="shared" ca="1" si="46"/>
        <v>14%</v>
      </c>
      <c r="K614" t="s">
        <v>59</v>
      </c>
      <c r="L614" s="66" t="str">
        <f t="shared" ca="1" si="47"/>
        <v>Sin costo</v>
      </c>
      <c r="M614" t="s">
        <v>64</v>
      </c>
      <c r="N614" t="s">
        <v>66</v>
      </c>
      <c r="O614" t="s">
        <v>66</v>
      </c>
      <c r="P614" t="s">
        <v>66</v>
      </c>
      <c r="R614" t="s">
        <v>66</v>
      </c>
      <c r="U614" t="s">
        <v>90</v>
      </c>
      <c r="V614" t="s">
        <v>66</v>
      </c>
      <c r="W614" t="s">
        <v>66</v>
      </c>
      <c r="X614" t="s">
        <v>66</v>
      </c>
      <c r="Y614" t="s">
        <v>66</v>
      </c>
      <c r="Z614" s="99" t="str">
        <f t="shared" ca="1" si="48"/>
        <v/>
      </c>
      <c r="AA614" s="101" t="str">
        <f t="shared" ca="1" si="49"/>
        <v/>
      </c>
    </row>
    <row r="615" spans="2:27" ht="27.6" customHeight="1">
      <c r="B615">
        <f t="shared" ca="1" si="45"/>
        <v>0</v>
      </c>
      <c r="C615" t="s">
        <v>36</v>
      </c>
      <c r="G615" s="75">
        <v>1</v>
      </c>
      <c r="J615" s="66" t="str">
        <f t="shared" ca="1" si="46"/>
        <v>14%</v>
      </c>
      <c r="K615" t="s">
        <v>59</v>
      </c>
      <c r="L615" s="66" t="str">
        <f t="shared" ca="1" si="47"/>
        <v>Sin costo</v>
      </c>
      <c r="M615" t="s">
        <v>64</v>
      </c>
      <c r="N615" t="s">
        <v>66</v>
      </c>
      <c r="O615" t="s">
        <v>66</v>
      </c>
      <c r="P615" t="s">
        <v>66</v>
      </c>
      <c r="R615" t="s">
        <v>66</v>
      </c>
      <c r="U615" t="s">
        <v>90</v>
      </c>
      <c r="V615" t="s">
        <v>66</v>
      </c>
      <c r="W615" t="s">
        <v>66</v>
      </c>
      <c r="X615" t="s">
        <v>66</v>
      </c>
      <c r="Y615" t="s">
        <v>66</v>
      </c>
      <c r="Z615" s="99" t="str">
        <f t="shared" ca="1" si="48"/>
        <v/>
      </c>
      <c r="AA615" s="101" t="str">
        <f t="shared" ca="1" si="49"/>
        <v/>
      </c>
    </row>
    <row r="616" spans="2:27" ht="27.6" customHeight="1">
      <c r="B616">
        <f t="shared" ca="1" si="45"/>
        <v>0</v>
      </c>
      <c r="C616" t="s">
        <v>36</v>
      </c>
      <c r="G616" s="75">
        <v>1</v>
      </c>
      <c r="J616" s="66" t="str">
        <f t="shared" ca="1" si="46"/>
        <v>14%</v>
      </c>
      <c r="K616" t="s">
        <v>59</v>
      </c>
      <c r="L616" s="66" t="str">
        <f t="shared" ca="1" si="47"/>
        <v>Sin costo</v>
      </c>
      <c r="M616" t="s">
        <v>64</v>
      </c>
      <c r="N616" t="s">
        <v>66</v>
      </c>
      <c r="O616" t="s">
        <v>66</v>
      </c>
      <c r="P616" t="s">
        <v>66</v>
      </c>
      <c r="R616" t="s">
        <v>66</v>
      </c>
      <c r="U616" t="s">
        <v>90</v>
      </c>
      <c r="V616" t="s">
        <v>66</v>
      </c>
      <c r="W616" t="s">
        <v>66</v>
      </c>
      <c r="X616" t="s">
        <v>66</v>
      </c>
      <c r="Y616" t="s">
        <v>66</v>
      </c>
      <c r="Z616" s="99" t="str">
        <f t="shared" ca="1" si="48"/>
        <v/>
      </c>
      <c r="AA616" s="101" t="str">
        <f t="shared" ca="1" si="49"/>
        <v/>
      </c>
    </row>
    <row r="617" spans="2:27" ht="27.6" customHeight="1">
      <c r="B617">
        <f t="shared" ca="1" si="45"/>
        <v>0</v>
      </c>
      <c r="C617" t="s">
        <v>36</v>
      </c>
      <c r="G617" s="75">
        <v>1</v>
      </c>
      <c r="J617" s="66" t="str">
        <f t="shared" ca="1" si="46"/>
        <v>14%</v>
      </c>
      <c r="K617" t="s">
        <v>59</v>
      </c>
      <c r="L617" s="66" t="str">
        <f t="shared" ca="1" si="47"/>
        <v>Sin costo</v>
      </c>
      <c r="M617" t="s">
        <v>64</v>
      </c>
      <c r="N617" t="s">
        <v>66</v>
      </c>
      <c r="O617" t="s">
        <v>66</v>
      </c>
      <c r="P617" t="s">
        <v>66</v>
      </c>
      <c r="R617" t="s">
        <v>66</v>
      </c>
      <c r="U617" t="s">
        <v>90</v>
      </c>
      <c r="V617" t="s">
        <v>66</v>
      </c>
      <c r="W617" t="s">
        <v>66</v>
      </c>
      <c r="X617" t="s">
        <v>66</v>
      </c>
      <c r="Y617" t="s">
        <v>66</v>
      </c>
      <c r="Z617" s="99" t="str">
        <f t="shared" ca="1" si="48"/>
        <v/>
      </c>
      <c r="AA617" s="101" t="str">
        <f t="shared" ca="1" si="49"/>
        <v/>
      </c>
    </row>
    <row r="618" spans="2:27" ht="27.6" customHeight="1">
      <c r="B618">
        <f t="shared" ca="1" si="45"/>
        <v>0</v>
      </c>
      <c r="C618" t="s">
        <v>36</v>
      </c>
      <c r="G618" s="75">
        <v>1</v>
      </c>
      <c r="J618" s="66" t="str">
        <f t="shared" ca="1" si="46"/>
        <v>14%</v>
      </c>
      <c r="K618" t="s">
        <v>59</v>
      </c>
      <c r="L618" s="66" t="str">
        <f t="shared" ca="1" si="47"/>
        <v>Sin costo</v>
      </c>
      <c r="M618" t="s">
        <v>64</v>
      </c>
      <c r="N618" t="s">
        <v>66</v>
      </c>
      <c r="O618" t="s">
        <v>66</v>
      </c>
      <c r="P618" t="s">
        <v>66</v>
      </c>
      <c r="R618" t="s">
        <v>66</v>
      </c>
      <c r="U618" t="s">
        <v>90</v>
      </c>
      <c r="V618" t="s">
        <v>66</v>
      </c>
      <c r="W618" t="s">
        <v>66</v>
      </c>
      <c r="X618" t="s">
        <v>66</v>
      </c>
      <c r="Y618" t="s">
        <v>66</v>
      </c>
      <c r="Z618" s="99" t="str">
        <f t="shared" ca="1" si="48"/>
        <v/>
      </c>
      <c r="AA618" s="101" t="str">
        <f t="shared" ca="1" si="49"/>
        <v/>
      </c>
    </row>
    <row r="619" spans="2:27" ht="27.6" customHeight="1">
      <c r="B619">
        <f t="shared" ca="1" si="45"/>
        <v>0</v>
      </c>
      <c r="C619" t="s">
        <v>36</v>
      </c>
      <c r="G619" s="75">
        <v>1</v>
      </c>
      <c r="J619" s="66" t="str">
        <f t="shared" ca="1" si="46"/>
        <v>14%</v>
      </c>
      <c r="K619" t="s">
        <v>59</v>
      </c>
      <c r="L619" s="66" t="str">
        <f t="shared" ca="1" si="47"/>
        <v>Sin costo</v>
      </c>
      <c r="M619" t="s">
        <v>64</v>
      </c>
      <c r="N619" t="s">
        <v>66</v>
      </c>
      <c r="O619" t="s">
        <v>66</v>
      </c>
      <c r="P619" t="s">
        <v>66</v>
      </c>
      <c r="R619" t="s">
        <v>66</v>
      </c>
      <c r="U619" t="s">
        <v>90</v>
      </c>
      <c r="V619" t="s">
        <v>66</v>
      </c>
      <c r="W619" t="s">
        <v>66</v>
      </c>
      <c r="X619" t="s">
        <v>66</v>
      </c>
      <c r="Y619" t="s">
        <v>66</v>
      </c>
      <c r="Z619" s="99" t="str">
        <f t="shared" ca="1" si="48"/>
        <v/>
      </c>
      <c r="AA619" s="101" t="str">
        <f t="shared" ca="1" si="49"/>
        <v/>
      </c>
    </row>
    <row r="620" spans="2:27" ht="27.6" customHeight="1">
      <c r="B620">
        <f t="shared" ca="1" si="45"/>
        <v>0</v>
      </c>
      <c r="C620" t="s">
        <v>36</v>
      </c>
      <c r="G620" s="75">
        <v>1</v>
      </c>
      <c r="J620" s="66" t="str">
        <f t="shared" ca="1" si="46"/>
        <v>14%</v>
      </c>
      <c r="K620" t="s">
        <v>59</v>
      </c>
      <c r="L620" s="66" t="str">
        <f t="shared" ca="1" si="47"/>
        <v>Sin costo</v>
      </c>
      <c r="M620" t="s">
        <v>64</v>
      </c>
      <c r="N620" t="s">
        <v>66</v>
      </c>
      <c r="O620" t="s">
        <v>66</v>
      </c>
      <c r="P620" t="s">
        <v>66</v>
      </c>
      <c r="R620" t="s">
        <v>66</v>
      </c>
      <c r="U620" t="s">
        <v>90</v>
      </c>
      <c r="V620" t="s">
        <v>66</v>
      </c>
      <c r="W620" t="s">
        <v>66</v>
      </c>
      <c r="X620" t="s">
        <v>66</v>
      </c>
      <c r="Y620" t="s">
        <v>66</v>
      </c>
      <c r="Z620" s="99" t="str">
        <f t="shared" ca="1" si="48"/>
        <v/>
      </c>
      <c r="AA620" s="101" t="str">
        <f t="shared" ca="1" si="49"/>
        <v/>
      </c>
    </row>
    <row r="621" spans="2:27" ht="27.6" customHeight="1">
      <c r="B621">
        <f t="shared" ca="1" si="45"/>
        <v>0</v>
      </c>
      <c r="C621" t="s">
        <v>36</v>
      </c>
      <c r="G621" s="75">
        <v>1</v>
      </c>
      <c r="J621" s="66" t="str">
        <f t="shared" ca="1" si="46"/>
        <v>14%</v>
      </c>
      <c r="K621" t="s">
        <v>59</v>
      </c>
      <c r="L621" s="66" t="str">
        <f t="shared" ca="1" si="47"/>
        <v>Sin costo</v>
      </c>
      <c r="M621" t="s">
        <v>64</v>
      </c>
      <c r="N621" t="s">
        <v>66</v>
      </c>
      <c r="O621" t="s">
        <v>66</v>
      </c>
      <c r="P621" t="s">
        <v>66</v>
      </c>
      <c r="R621" t="s">
        <v>66</v>
      </c>
      <c r="U621" t="s">
        <v>90</v>
      </c>
      <c r="V621" t="s">
        <v>66</v>
      </c>
      <c r="W621" t="s">
        <v>66</v>
      </c>
      <c r="X621" t="s">
        <v>66</v>
      </c>
      <c r="Y621" t="s">
        <v>66</v>
      </c>
      <c r="Z621" s="99" t="str">
        <f t="shared" ca="1" si="48"/>
        <v/>
      </c>
      <c r="AA621" s="101" t="str">
        <f t="shared" ca="1" si="49"/>
        <v/>
      </c>
    </row>
    <row r="622" spans="2:27" ht="27.6" customHeight="1">
      <c r="B622">
        <f t="shared" ca="1" si="45"/>
        <v>0</v>
      </c>
      <c r="C622" t="s">
        <v>36</v>
      </c>
      <c r="G622" s="75">
        <v>1</v>
      </c>
      <c r="J622" s="66" t="str">
        <f t="shared" ca="1" si="46"/>
        <v>14%</v>
      </c>
      <c r="K622" t="s">
        <v>59</v>
      </c>
      <c r="L622" s="66" t="str">
        <f t="shared" ca="1" si="47"/>
        <v>Sin costo</v>
      </c>
      <c r="M622" t="s">
        <v>64</v>
      </c>
      <c r="N622" t="s">
        <v>66</v>
      </c>
      <c r="O622" t="s">
        <v>66</v>
      </c>
      <c r="P622" t="s">
        <v>66</v>
      </c>
      <c r="R622" t="s">
        <v>66</v>
      </c>
      <c r="U622" t="s">
        <v>90</v>
      </c>
      <c r="V622" t="s">
        <v>66</v>
      </c>
      <c r="W622" t="s">
        <v>66</v>
      </c>
      <c r="X622" t="s">
        <v>66</v>
      </c>
      <c r="Y622" t="s">
        <v>66</v>
      </c>
      <c r="Z622" s="99" t="str">
        <f t="shared" ca="1" si="48"/>
        <v/>
      </c>
      <c r="AA622" s="101" t="str">
        <f t="shared" ca="1" si="49"/>
        <v/>
      </c>
    </row>
    <row r="623" spans="2:27" ht="27.6" customHeight="1">
      <c r="B623">
        <f t="shared" ca="1" si="45"/>
        <v>0</v>
      </c>
      <c r="C623" t="s">
        <v>36</v>
      </c>
      <c r="G623" s="75">
        <v>1</v>
      </c>
      <c r="J623" s="66" t="str">
        <f t="shared" ca="1" si="46"/>
        <v>14%</v>
      </c>
      <c r="K623" t="s">
        <v>59</v>
      </c>
      <c r="L623" s="66" t="str">
        <f t="shared" ca="1" si="47"/>
        <v>Sin costo</v>
      </c>
      <c r="M623" t="s">
        <v>64</v>
      </c>
      <c r="N623" t="s">
        <v>66</v>
      </c>
      <c r="O623" t="s">
        <v>66</v>
      </c>
      <c r="P623" t="s">
        <v>66</v>
      </c>
      <c r="R623" t="s">
        <v>66</v>
      </c>
      <c r="U623" t="s">
        <v>90</v>
      </c>
      <c r="V623" t="s">
        <v>66</v>
      </c>
      <c r="W623" t="s">
        <v>66</v>
      </c>
      <c r="X623" t="s">
        <v>66</v>
      </c>
      <c r="Y623" t="s">
        <v>66</v>
      </c>
      <c r="Z623" s="99" t="str">
        <f t="shared" ca="1" si="48"/>
        <v/>
      </c>
      <c r="AA623" s="101" t="str">
        <f t="shared" ca="1" si="49"/>
        <v/>
      </c>
    </row>
    <row r="624" spans="2:27" ht="27.6" customHeight="1">
      <c r="B624">
        <f t="shared" ca="1" si="45"/>
        <v>0</v>
      </c>
      <c r="C624" t="s">
        <v>36</v>
      </c>
      <c r="G624" s="75">
        <v>1</v>
      </c>
      <c r="J624" s="66" t="str">
        <f t="shared" ca="1" si="46"/>
        <v>14%</v>
      </c>
      <c r="K624" t="s">
        <v>59</v>
      </c>
      <c r="L624" s="66" t="str">
        <f t="shared" ca="1" si="47"/>
        <v>Sin costo</v>
      </c>
      <c r="M624" t="s">
        <v>64</v>
      </c>
      <c r="N624" t="s">
        <v>66</v>
      </c>
      <c r="O624" t="s">
        <v>66</v>
      </c>
      <c r="P624" t="s">
        <v>66</v>
      </c>
      <c r="R624" t="s">
        <v>66</v>
      </c>
      <c r="U624" t="s">
        <v>90</v>
      </c>
      <c r="V624" t="s">
        <v>66</v>
      </c>
      <c r="W624" t="s">
        <v>66</v>
      </c>
      <c r="X624" t="s">
        <v>66</v>
      </c>
      <c r="Y624" t="s">
        <v>66</v>
      </c>
      <c r="Z624" s="99" t="str">
        <f t="shared" ca="1" si="48"/>
        <v/>
      </c>
      <c r="AA624" s="101" t="str">
        <f t="shared" ca="1" si="49"/>
        <v/>
      </c>
    </row>
    <row r="625" spans="2:27" ht="27.6" customHeight="1">
      <c r="B625">
        <f t="shared" ca="1" si="45"/>
        <v>0</v>
      </c>
      <c r="C625" t="s">
        <v>36</v>
      </c>
      <c r="G625" s="75">
        <v>1</v>
      </c>
      <c r="J625" s="66" t="str">
        <f t="shared" ca="1" si="46"/>
        <v>14%</v>
      </c>
      <c r="K625" t="s">
        <v>59</v>
      </c>
      <c r="L625" s="66" t="str">
        <f t="shared" ca="1" si="47"/>
        <v>Sin costo</v>
      </c>
      <c r="M625" t="s">
        <v>64</v>
      </c>
      <c r="N625" t="s">
        <v>66</v>
      </c>
      <c r="O625" t="s">
        <v>66</v>
      </c>
      <c r="P625" t="s">
        <v>66</v>
      </c>
      <c r="R625" t="s">
        <v>66</v>
      </c>
      <c r="U625" t="s">
        <v>90</v>
      </c>
      <c r="V625" t="s">
        <v>66</v>
      </c>
      <c r="W625" t="s">
        <v>66</v>
      </c>
      <c r="X625" t="s">
        <v>66</v>
      </c>
      <c r="Y625" t="s">
        <v>66</v>
      </c>
      <c r="Z625" s="99" t="str">
        <f t="shared" ca="1" si="48"/>
        <v/>
      </c>
      <c r="AA625" s="101" t="str">
        <f t="shared" ca="1" si="49"/>
        <v/>
      </c>
    </row>
    <row r="626" spans="2:27" ht="27.6" customHeight="1">
      <c r="B626">
        <f t="shared" ca="1" si="45"/>
        <v>0</v>
      </c>
      <c r="C626" t="s">
        <v>36</v>
      </c>
      <c r="G626" s="75">
        <v>1</v>
      </c>
      <c r="J626" s="66" t="str">
        <f t="shared" ca="1" si="46"/>
        <v>14%</v>
      </c>
      <c r="K626" t="s">
        <v>59</v>
      </c>
      <c r="L626" s="66" t="str">
        <f t="shared" ca="1" si="47"/>
        <v>Sin costo</v>
      </c>
      <c r="M626" t="s">
        <v>64</v>
      </c>
      <c r="N626" t="s">
        <v>66</v>
      </c>
      <c r="O626" t="s">
        <v>66</v>
      </c>
      <c r="P626" t="s">
        <v>66</v>
      </c>
      <c r="R626" t="s">
        <v>66</v>
      </c>
      <c r="U626" t="s">
        <v>90</v>
      </c>
      <c r="V626" t="s">
        <v>66</v>
      </c>
      <c r="W626" t="s">
        <v>66</v>
      </c>
      <c r="X626" t="s">
        <v>66</v>
      </c>
      <c r="Y626" t="s">
        <v>66</v>
      </c>
      <c r="Z626" s="99" t="str">
        <f t="shared" ca="1" si="48"/>
        <v/>
      </c>
      <c r="AA626" s="101" t="str">
        <f t="shared" ca="1" si="49"/>
        <v/>
      </c>
    </row>
    <row r="627" spans="2:27" ht="27.6" customHeight="1">
      <c r="B627">
        <f t="shared" ca="1" si="45"/>
        <v>0</v>
      </c>
      <c r="C627" t="s">
        <v>36</v>
      </c>
      <c r="G627" s="75">
        <v>1</v>
      </c>
      <c r="J627" s="66" t="str">
        <f t="shared" ca="1" si="46"/>
        <v>14%</v>
      </c>
      <c r="K627" t="s">
        <v>59</v>
      </c>
      <c r="L627" s="66" t="str">
        <f t="shared" ca="1" si="47"/>
        <v>Sin costo</v>
      </c>
      <c r="M627" t="s">
        <v>64</v>
      </c>
      <c r="N627" t="s">
        <v>66</v>
      </c>
      <c r="O627" t="s">
        <v>66</v>
      </c>
      <c r="P627" t="s">
        <v>66</v>
      </c>
      <c r="R627" t="s">
        <v>66</v>
      </c>
      <c r="U627" t="s">
        <v>90</v>
      </c>
      <c r="V627" t="s">
        <v>66</v>
      </c>
      <c r="W627" t="s">
        <v>66</v>
      </c>
      <c r="X627" t="s">
        <v>66</v>
      </c>
      <c r="Y627" t="s">
        <v>66</v>
      </c>
      <c r="Z627" s="99" t="str">
        <f t="shared" ca="1" si="48"/>
        <v/>
      </c>
      <c r="AA627" s="101" t="str">
        <f t="shared" ca="1" si="49"/>
        <v/>
      </c>
    </row>
    <row r="628" spans="2:27" ht="27.6" customHeight="1">
      <c r="B628">
        <f t="shared" ca="1" si="45"/>
        <v>0</v>
      </c>
      <c r="C628" t="s">
        <v>36</v>
      </c>
      <c r="G628" s="75">
        <v>1</v>
      </c>
      <c r="J628" s="66" t="str">
        <f t="shared" ca="1" si="46"/>
        <v>14%</v>
      </c>
      <c r="K628" t="s">
        <v>59</v>
      </c>
      <c r="L628" s="66" t="str">
        <f t="shared" ca="1" si="47"/>
        <v>Sin costo</v>
      </c>
      <c r="M628" t="s">
        <v>64</v>
      </c>
      <c r="N628" t="s">
        <v>66</v>
      </c>
      <c r="O628" t="s">
        <v>66</v>
      </c>
      <c r="P628" t="s">
        <v>66</v>
      </c>
      <c r="R628" t="s">
        <v>66</v>
      </c>
      <c r="U628" t="s">
        <v>90</v>
      </c>
      <c r="V628" t="s">
        <v>66</v>
      </c>
      <c r="W628" t="s">
        <v>66</v>
      </c>
      <c r="X628" t="s">
        <v>66</v>
      </c>
      <c r="Y628" t="s">
        <v>66</v>
      </c>
      <c r="Z628" s="99" t="str">
        <f t="shared" ca="1" si="48"/>
        <v/>
      </c>
      <c r="AA628" s="101" t="str">
        <f t="shared" ca="1" si="49"/>
        <v/>
      </c>
    </row>
    <row r="629" spans="2:27" ht="27.6" customHeight="1">
      <c r="B629">
        <f t="shared" ca="1" si="45"/>
        <v>0</v>
      </c>
      <c r="C629" t="s">
        <v>36</v>
      </c>
      <c r="G629" s="75">
        <v>1</v>
      </c>
      <c r="J629" s="66" t="str">
        <f t="shared" ca="1" si="46"/>
        <v>14%</v>
      </c>
      <c r="K629" t="s">
        <v>59</v>
      </c>
      <c r="L629" s="66" t="str">
        <f t="shared" ca="1" si="47"/>
        <v>Sin costo</v>
      </c>
      <c r="M629" t="s">
        <v>64</v>
      </c>
      <c r="N629" t="s">
        <v>66</v>
      </c>
      <c r="O629" t="s">
        <v>66</v>
      </c>
      <c r="P629" t="s">
        <v>66</v>
      </c>
      <c r="R629" t="s">
        <v>66</v>
      </c>
      <c r="U629" t="s">
        <v>90</v>
      </c>
      <c r="V629" t="s">
        <v>66</v>
      </c>
      <c r="W629" t="s">
        <v>66</v>
      </c>
      <c r="X629" t="s">
        <v>66</v>
      </c>
      <c r="Y629" t="s">
        <v>66</v>
      </c>
      <c r="Z629" s="99" t="str">
        <f t="shared" ca="1" si="48"/>
        <v/>
      </c>
      <c r="AA629" s="101" t="str">
        <f t="shared" ca="1" si="49"/>
        <v/>
      </c>
    </row>
    <row r="630" spans="2:27" ht="27.6" customHeight="1">
      <c r="B630">
        <f t="shared" ca="1" si="45"/>
        <v>0</v>
      </c>
      <c r="C630" t="s">
        <v>36</v>
      </c>
      <c r="G630" s="75">
        <v>1</v>
      </c>
      <c r="J630" s="66" t="str">
        <f t="shared" ca="1" si="46"/>
        <v>14%</v>
      </c>
      <c r="K630" t="s">
        <v>59</v>
      </c>
      <c r="L630" s="66" t="str">
        <f t="shared" ca="1" si="47"/>
        <v>Sin costo</v>
      </c>
      <c r="M630" t="s">
        <v>64</v>
      </c>
      <c r="N630" t="s">
        <v>66</v>
      </c>
      <c r="O630" t="s">
        <v>66</v>
      </c>
      <c r="P630" t="s">
        <v>66</v>
      </c>
      <c r="R630" t="s">
        <v>66</v>
      </c>
      <c r="U630" t="s">
        <v>90</v>
      </c>
      <c r="V630" t="s">
        <v>66</v>
      </c>
      <c r="W630" t="s">
        <v>66</v>
      </c>
      <c r="X630" t="s">
        <v>66</v>
      </c>
      <c r="Y630" t="s">
        <v>66</v>
      </c>
      <c r="Z630" s="99" t="str">
        <f t="shared" ca="1" si="48"/>
        <v/>
      </c>
      <c r="AA630" s="101" t="str">
        <f t="shared" ca="1" si="49"/>
        <v/>
      </c>
    </row>
    <row r="631" spans="2:27" ht="27.6" customHeight="1">
      <c r="B631">
        <f t="shared" ca="1" si="45"/>
        <v>0</v>
      </c>
      <c r="C631" t="s">
        <v>36</v>
      </c>
      <c r="G631" s="75">
        <v>1</v>
      </c>
      <c r="J631" s="66" t="str">
        <f t="shared" ca="1" si="46"/>
        <v>14%</v>
      </c>
      <c r="K631" t="s">
        <v>59</v>
      </c>
      <c r="L631" s="66" t="str">
        <f t="shared" ca="1" si="47"/>
        <v>Sin costo</v>
      </c>
      <c r="M631" t="s">
        <v>64</v>
      </c>
      <c r="N631" t="s">
        <v>66</v>
      </c>
      <c r="O631" t="s">
        <v>66</v>
      </c>
      <c r="P631" t="s">
        <v>66</v>
      </c>
      <c r="R631" t="s">
        <v>66</v>
      </c>
      <c r="U631" t="s">
        <v>90</v>
      </c>
      <c r="V631" t="s">
        <v>66</v>
      </c>
      <c r="W631" t="s">
        <v>66</v>
      </c>
      <c r="X631" t="s">
        <v>66</v>
      </c>
      <c r="Y631" t="s">
        <v>66</v>
      </c>
      <c r="Z631" s="99" t="str">
        <f t="shared" ca="1" si="48"/>
        <v/>
      </c>
      <c r="AA631" s="101" t="str">
        <f t="shared" ca="1" si="49"/>
        <v/>
      </c>
    </row>
    <row r="632" spans="2:27" ht="27.6" customHeight="1">
      <c r="B632">
        <f t="shared" ca="1" si="45"/>
        <v>0</v>
      </c>
      <c r="C632" t="s">
        <v>36</v>
      </c>
      <c r="G632" s="75">
        <v>1</v>
      </c>
      <c r="J632" s="66" t="str">
        <f t="shared" ca="1" si="46"/>
        <v>14%</v>
      </c>
      <c r="K632" t="s">
        <v>59</v>
      </c>
      <c r="L632" s="66" t="str">
        <f t="shared" ca="1" si="47"/>
        <v>Sin costo</v>
      </c>
      <c r="M632" t="s">
        <v>64</v>
      </c>
      <c r="N632" t="s">
        <v>66</v>
      </c>
      <c r="O632" t="s">
        <v>66</v>
      </c>
      <c r="P632" t="s">
        <v>66</v>
      </c>
      <c r="R632" t="s">
        <v>66</v>
      </c>
      <c r="U632" t="s">
        <v>90</v>
      </c>
      <c r="V632" t="s">
        <v>66</v>
      </c>
      <c r="W632" t="s">
        <v>66</v>
      </c>
      <c r="X632" t="s">
        <v>66</v>
      </c>
      <c r="Y632" t="s">
        <v>66</v>
      </c>
      <c r="Z632" s="99" t="str">
        <f t="shared" ca="1" si="48"/>
        <v/>
      </c>
      <c r="AA632" s="101" t="str">
        <f t="shared" ca="1" si="49"/>
        <v/>
      </c>
    </row>
    <row r="633" spans="2:27" ht="27.6" customHeight="1">
      <c r="B633">
        <f t="shared" ca="1" si="45"/>
        <v>0</v>
      </c>
      <c r="C633" t="s">
        <v>36</v>
      </c>
      <c r="G633" s="75">
        <v>1</v>
      </c>
      <c r="J633" s="66" t="str">
        <f t="shared" ca="1" si="46"/>
        <v>14%</v>
      </c>
      <c r="K633" t="s">
        <v>59</v>
      </c>
      <c r="L633" s="66" t="str">
        <f t="shared" ca="1" si="47"/>
        <v>Sin costo</v>
      </c>
      <c r="M633" t="s">
        <v>64</v>
      </c>
      <c r="N633" t="s">
        <v>66</v>
      </c>
      <c r="O633" t="s">
        <v>66</v>
      </c>
      <c r="P633" t="s">
        <v>66</v>
      </c>
      <c r="R633" t="s">
        <v>66</v>
      </c>
      <c r="U633" t="s">
        <v>90</v>
      </c>
      <c r="V633" t="s">
        <v>66</v>
      </c>
      <c r="W633" t="s">
        <v>66</v>
      </c>
      <c r="X633" t="s">
        <v>66</v>
      </c>
      <c r="Y633" t="s">
        <v>66</v>
      </c>
      <c r="Z633" s="99" t="str">
        <f t="shared" ca="1" si="48"/>
        <v/>
      </c>
      <c r="AA633" s="101" t="str">
        <f t="shared" ca="1" si="49"/>
        <v/>
      </c>
    </row>
    <row r="634" spans="2:27" ht="27.6" customHeight="1">
      <c r="B634">
        <f t="shared" ca="1" si="45"/>
        <v>0</v>
      </c>
      <c r="C634" t="s">
        <v>36</v>
      </c>
      <c r="G634" s="75">
        <v>1</v>
      </c>
      <c r="J634" s="66" t="str">
        <f t="shared" ca="1" si="46"/>
        <v>14%</v>
      </c>
      <c r="K634" t="s">
        <v>59</v>
      </c>
      <c r="L634" s="66" t="str">
        <f t="shared" ca="1" si="47"/>
        <v>Sin costo</v>
      </c>
      <c r="M634" t="s">
        <v>64</v>
      </c>
      <c r="N634" t="s">
        <v>66</v>
      </c>
      <c r="O634" t="s">
        <v>66</v>
      </c>
      <c r="P634" t="s">
        <v>66</v>
      </c>
      <c r="R634" t="s">
        <v>66</v>
      </c>
      <c r="U634" t="s">
        <v>90</v>
      </c>
      <c r="V634" t="s">
        <v>66</v>
      </c>
      <c r="W634" t="s">
        <v>66</v>
      </c>
      <c r="X634" t="s">
        <v>66</v>
      </c>
      <c r="Y634" t="s">
        <v>66</v>
      </c>
      <c r="Z634" s="99" t="str">
        <f t="shared" ca="1" si="48"/>
        <v/>
      </c>
      <c r="AA634" s="101" t="str">
        <f t="shared" ca="1" si="49"/>
        <v/>
      </c>
    </row>
    <row r="635" spans="2:27" ht="27.6" customHeight="1">
      <c r="B635">
        <f t="shared" ca="1" si="45"/>
        <v>0</v>
      </c>
      <c r="C635" t="s">
        <v>36</v>
      </c>
      <c r="G635" s="75">
        <v>1</v>
      </c>
      <c r="J635" s="66" t="str">
        <f t="shared" ca="1" si="46"/>
        <v>14%</v>
      </c>
      <c r="K635" t="s">
        <v>59</v>
      </c>
      <c r="L635" s="66" t="str">
        <f t="shared" ca="1" si="47"/>
        <v>Sin costo</v>
      </c>
      <c r="M635" t="s">
        <v>64</v>
      </c>
      <c r="N635" t="s">
        <v>66</v>
      </c>
      <c r="O635" t="s">
        <v>66</v>
      </c>
      <c r="P635" t="s">
        <v>66</v>
      </c>
      <c r="R635" t="s">
        <v>66</v>
      </c>
      <c r="U635" t="s">
        <v>90</v>
      </c>
      <c r="V635" t="s">
        <v>66</v>
      </c>
      <c r="W635" t="s">
        <v>66</v>
      </c>
      <c r="X635" t="s">
        <v>66</v>
      </c>
      <c r="Y635" t="s">
        <v>66</v>
      </c>
      <c r="Z635" s="99" t="str">
        <f t="shared" ca="1" si="48"/>
        <v/>
      </c>
      <c r="AA635" s="101" t="str">
        <f t="shared" ca="1" si="49"/>
        <v/>
      </c>
    </row>
    <row r="636" spans="2:27" ht="27.6" customHeight="1">
      <c r="B636">
        <f t="shared" ca="1" si="45"/>
        <v>0</v>
      </c>
      <c r="C636" t="s">
        <v>36</v>
      </c>
      <c r="G636" s="75">
        <v>1</v>
      </c>
      <c r="J636" s="66" t="str">
        <f t="shared" ca="1" si="46"/>
        <v>14%</v>
      </c>
      <c r="K636" t="s">
        <v>59</v>
      </c>
      <c r="L636" s="66" t="str">
        <f t="shared" ca="1" si="47"/>
        <v>Sin costo</v>
      </c>
      <c r="M636" t="s">
        <v>64</v>
      </c>
      <c r="N636" t="s">
        <v>66</v>
      </c>
      <c r="O636" t="s">
        <v>66</v>
      </c>
      <c r="P636" t="s">
        <v>66</v>
      </c>
      <c r="R636" t="s">
        <v>66</v>
      </c>
      <c r="U636" t="s">
        <v>90</v>
      </c>
      <c r="V636" t="s">
        <v>66</v>
      </c>
      <c r="W636" t="s">
        <v>66</v>
      </c>
      <c r="X636" t="s">
        <v>66</v>
      </c>
      <c r="Y636" t="s">
        <v>66</v>
      </c>
      <c r="Z636" s="99" t="str">
        <f t="shared" ca="1" si="48"/>
        <v/>
      </c>
      <c r="AA636" s="101" t="str">
        <f t="shared" ca="1" si="49"/>
        <v/>
      </c>
    </row>
    <row r="637" spans="2:27" ht="27.6" customHeight="1">
      <c r="B637">
        <f t="shared" ca="1" si="45"/>
        <v>0</v>
      </c>
      <c r="C637" t="s">
        <v>36</v>
      </c>
      <c r="G637" s="75">
        <v>1</v>
      </c>
      <c r="J637" s="66" t="str">
        <f t="shared" ca="1" si="46"/>
        <v>14%</v>
      </c>
      <c r="K637" t="s">
        <v>59</v>
      </c>
      <c r="L637" s="66" t="str">
        <f t="shared" ca="1" si="47"/>
        <v>Sin costo</v>
      </c>
      <c r="M637" t="s">
        <v>64</v>
      </c>
      <c r="N637" t="s">
        <v>66</v>
      </c>
      <c r="O637" t="s">
        <v>66</v>
      </c>
      <c r="P637" t="s">
        <v>66</v>
      </c>
      <c r="R637" t="s">
        <v>66</v>
      </c>
      <c r="U637" t="s">
        <v>90</v>
      </c>
      <c r="V637" t="s">
        <v>66</v>
      </c>
      <c r="W637" t="s">
        <v>66</v>
      </c>
      <c r="X637" t="s">
        <v>66</v>
      </c>
      <c r="Y637" t="s">
        <v>66</v>
      </c>
      <c r="Z637" s="99" t="str">
        <f t="shared" ca="1" si="48"/>
        <v/>
      </c>
      <c r="AA637" s="101" t="str">
        <f t="shared" ca="1" si="49"/>
        <v/>
      </c>
    </row>
    <row r="638" spans="2:27" ht="27.6" customHeight="1">
      <c r="B638">
        <f t="shared" ca="1" si="45"/>
        <v>0</v>
      </c>
      <c r="C638" t="s">
        <v>36</v>
      </c>
      <c r="G638" s="75">
        <v>1</v>
      </c>
      <c r="J638" s="66" t="str">
        <f t="shared" ca="1" si="46"/>
        <v>14%</v>
      </c>
      <c r="K638" t="s">
        <v>59</v>
      </c>
      <c r="L638" s="66" t="str">
        <f t="shared" ca="1" si="47"/>
        <v>Sin costo</v>
      </c>
      <c r="M638" t="s">
        <v>64</v>
      </c>
      <c r="N638" t="s">
        <v>66</v>
      </c>
      <c r="O638" t="s">
        <v>66</v>
      </c>
      <c r="P638" t="s">
        <v>66</v>
      </c>
      <c r="R638" t="s">
        <v>66</v>
      </c>
      <c r="U638" t="s">
        <v>90</v>
      </c>
      <c r="V638" t="s">
        <v>66</v>
      </c>
      <c r="W638" t="s">
        <v>66</v>
      </c>
      <c r="X638" t="s">
        <v>66</v>
      </c>
      <c r="Y638" t="s">
        <v>66</v>
      </c>
      <c r="Z638" s="99" t="str">
        <f t="shared" ca="1" si="48"/>
        <v/>
      </c>
      <c r="AA638" s="101" t="str">
        <f t="shared" ca="1" si="49"/>
        <v/>
      </c>
    </row>
    <row r="639" spans="2:27" ht="27.6" customHeight="1">
      <c r="B639">
        <f t="shared" ca="1" si="45"/>
        <v>0</v>
      </c>
      <c r="C639" t="s">
        <v>36</v>
      </c>
      <c r="G639" s="75">
        <v>1</v>
      </c>
      <c r="J639" s="66" t="str">
        <f t="shared" ca="1" si="46"/>
        <v>14%</v>
      </c>
      <c r="K639" t="s">
        <v>59</v>
      </c>
      <c r="L639" s="66" t="str">
        <f t="shared" ca="1" si="47"/>
        <v>Sin costo</v>
      </c>
      <c r="M639" t="s">
        <v>64</v>
      </c>
      <c r="N639" t="s">
        <v>66</v>
      </c>
      <c r="O639" t="s">
        <v>66</v>
      </c>
      <c r="P639" t="s">
        <v>66</v>
      </c>
      <c r="R639" t="s">
        <v>66</v>
      </c>
      <c r="U639" t="s">
        <v>90</v>
      </c>
      <c r="V639" t="s">
        <v>66</v>
      </c>
      <c r="W639" t="s">
        <v>66</v>
      </c>
      <c r="X639" t="s">
        <v>66</v>
      </c>
      <c r="Y639" t="s">
        <v>66</v>
      </c>
      <c r="Z639" s="99" t="str">
        <f t="shared" ca="1" si="48"/>
        <v/>
      </c>
      <c r="AA639" s="101" t="str">
        <f t="shared" ca="1" si="49"/>
        <v/>
      </c>
    </row>
    <row r="640" spans="2:27" ht="27.6" customHeight="1">
      <c r="B640">
        <f t="shared" ca="1" si="45"/>
        <v>0</v>
      </c>
      <c r="C640" t="s">
        <v>36</v>
      </c>
      <c r="G640" s="75">
        <v>1</v>
      </c>
      <c r="J640" s="66" t="str">
        <f t="shared" ca="1" si="46"/>
        <v>14%</v>
      </c>
      <c r="K640" t="s">
        <v>59</v>
      </c>
      <c r="L640" s="66" t="str">
        <f t="shared" ca="1" si="47"/>
        <v>Sin costo</v>
      </c>
      <c r="M640" t="s">
        <v>64</v>
      </c>
      <c r="N640" t="s">
        <v>66</v>
      </c>
      <c r="O640" t="s">
        <v>66</v>
      </c>
      <c r="P640" t="s">
        <v>66</v>
      </c>
      <c r="R640" t="s">
        <v>66</v>
      </c>
      <c r="U640" t="s">
        <v>90</v>
      </c>
      <c r="V640" t="s">
        <v>66</v>
      </c>
      <c r="W640" t="s">
        <v>66</v>
      </c>
      <c r="X640" t="s">
        <v>66</v>
      </c>
      <c r="Y640" t="s">
        <v>66</v>
      </c>
      <c r="Z640" s="99" t="str">
        <f t="shared" ca="1" si="48"/>
        <v/>
      </c>
      <c r="AA640" s="101" t="str">
        <f t="shared" ca="1" si="49"/>
        <v/>
      </c>
    </row>
    <row r="641" spans="2:27" ht="27.6" customHeight="1">
      <c r="B641">
        <f t="shared" ca="1" si="45"/>
        <v>0</v>
      </c>
      <c r="C641" t="s">
        <v>36</v>
      </c>
      <c r="G641" s="75">
        <v>1</v>
      </c>
      <c r="J641" s="66" t="str">
        <f t="shared" ca="1" si="46"/>
        <v>14%</v>
      </c>
      <c r="K641" t="s">
        <v>59</v>
      </c>
      <c r="L641" s="66" t="str">
        <f t="shared" ca="1" si="47"/>
        <v>Sin costo</v>
      </c>
      <c r="M641" t="s">
        <v>64</v>
      </c>
      <c r="N641" t="s">
        <v>66</v>
      </c>
      <c r="O641" t="s">
        <v>66</v>
      </c>
      <c r="P641" t="s">
        <v>66</v>
      </c>
      <c r="R641" t="s">
        <v>66</v>
      </c>
      <c r="U641" t="s">
        <v>90</v>
      </c>
      <c r="V641" t="s">
        <v>66</v>
      </c>
      <c r="W641" t="s">
        <v>66</v>
      </c>
      <c r="X641" t="s">
        <v>66</v>
      </c>
      <c r="Y641" t="s">
        <v>66</v>
      </c>
      <c r="Z641" s="99" t="str">
        <f t="shared" ca="1" si="48"/>
        <v/>
      </c>
      <c r="AA641" s="101" t="str">
        <f t="shared" ca="1" si="49"/>
        <v/>
      </c>
    </row>
    <row r="642" spans="2:27" ht="27.6" customHeight="1">
      <c r="B642">
        <f t="shared" ca="1" si="45"/>
        <v>0</v>
      </c>
      <c r="C642" t="s">
        <v>36</v>
      </c>
      <c r="G642" s="75">
        <v>1</v>
      </c>
      <c r="J642" s="66" t="str">
        <f t="shared" ca="1" si="46"/>
        <v>14%</v>
      </c>
      <c r="K642" t="s">
        <v>59</v>
      </c>
      <c r="L642" s="66" t="str">
        <f t="shared" ca="1" si="47"/>
        <v>Sin costo</v>
      </c>
      <c r="M642" t="s">
        <v>64</v>
      </c>
      <c r="N642" t="s">
        <v>66</v>
      </c>
      <c r="O642" t="s">
        <v>66</v>
      </c>
      <c r="P642" t="s">
        <v>66</v>
      </c>
      <c r="R642" t="s">
        <v>66</v>
      </c>
      <c r="U642" t="s">
        <v>90</v>
      </c>
      <c r="V642" t="s">
        <v>66</v>
      </c>
      <c r="W642" t="s">
        <v>66</v>
      </c>
      <c r="X642" t="s">
        <v>66</v>
      </c>
      <c r="Y642" t="s">
        <v>66</v>
      </c>
      <c r="Z642" s="99" t="str">
        <f t="shared" ca="1" si="48"/>
        <v/>
      </c>
      <c r="AA642" s="101" t="str">
        <f t="shared" ca="1" si="49"/>
        <v/>
      </c>
    </row>
    <row r="643" spans="2:27" ht="27.6" customHeight="1">
      <c r="B643">
        <f t="shared" ca="1" si="45"/>
        <v>0</v>
      </c>
      <c r="C643" t="s">
        <v>36</v>
      </c>
      <c r="G643" s="75">
        <v>1</v>
      </c>
      <c r="J643" s="66" t="str">
        <f t="shared" ca="1" si="46"/>
        <v>14%</v>
      </c>
      <c r="K643" t="s">
        <v>59</v>
      </c>
      <c r="L643" s="66" t="str">
        <f t="shared" ca="1" si="47"/>
        <v>Sin costo</v>
      </c>
      <c r="M643" t="s">
        <v>64</v>
      </c>
      <c r="N643" t="s">
        <v>66</v>
      </c>
      <c r="O643" t="s">
        <v>66</v>
      </c>
      <c r="P643" t="s">
        <v>66</v>
      </c>
      <c r="R643" t="s">
        <v>66</v>
      </c>
      <c r="U643" t="s">
        <v>90</v>
      </c>
      <c r="V643" t="s">
        <v>66</v>
      </c>
      <c r="W643" t="s">
        <v>66</v>
      </c>
      <c r="X643" t="s">
        <v>66</v>
      </c>
      <c r="Y643" t="s">
        <v>66</v>
      </c>
      <c r="Z643" s="99" t="str">
        <f t="shared" ca="1" si="48"/>
        <v/>
      </c>
      <c r="AA643" s="101" t="str">
        <f t="shared" ca="1" si="49"/>
        <v/>
      </c>
    </row>
    <row r="644" spans="2:27" ht="27.6" customHeight="1">
      <c r="B644">
        <f t="shared" ca="1" si="45"/>
        <v>0</v>
      </c>
      <c r="C644" t="s">
        <v>36</v>
      </c>
      <c r="G644" s="75">
        <v>1</v>
      </c>
      <c r="J644" s="66" t="str">
        <f t="shared" ca="1" si="46"/>
        <v>14%</v>
      </c>
      <c r="K644" t="s">
        <v>59</v>
      </c>
      <c r="L644" s="66" t="str">
        <f t="shared" ca="1" si="47"/>
        <v>Sin costo</v>
      </c>
      <c r="M644" t="s">
        <v>64</v>
      </c>
      <c r="N644" t="s">
        <v>66</v>
      </c>
      <c r="O644" t="s">
        <v>66</v>
      </c>
      <c r="P644" t="s">
        <v>66</v>
      </c>
      <c r="R644" t="s">
        <v>66</v>
      </c>
      <c r="U644" t="s">
        <v>90</v>
      </c>
      <c r="V644" t="s">
        <v>66</v>
      </c>
      <c r="W644" t="s">
        <v>66</v>
      </c>
      <c r="X644" t="s">
        <v>66</v>
      </c>
      <c r="Y644" t="s">
        <v>66</v>
      </c>
      <c r="Z644" s="99" t="str">
        <f t="shared" ca="1" si="48"/>
        <v/>
      </c>
      <c r="AA644" s="101" t="str">
        <f t="shared" ca="1" si="49"/>
        <v/>
      </c>
    </row>
    <row r="645" spans="2:27" ht="27.6" customHeight="1">
      <c r="B645">
        <f t="shared" ca="1" si="45"/>
        <v>0</v>
      </c>
      <c r="C645" t="s">
        <v>36</v>
      </c>
      <c r="G645" s="75">
        <v>1</v>
      </c>
      <c r="J645" s="66" t="str">
        <f t="shared" ca="1" si="46"/>
        <v>14%</v>
      </c>
      <c r="K645" t="s">
        <v>59</v>
      </c>
      <c r="L645" s="66" t="str">
        <f t="shared" ca="1" si="47"/>
        <v>Sin costo</v>
      </c>
      <c r="M645" t="s">
        <v>64</v>
      </c>
      <c r="N645" t="s">
        <v>66</v>
      </c>
      <c r="O645" t="s">
        <v>66</v>
      </c>
      <c r="P645" t="s">
        <v>66</v>
      </c>
      <c r="R645" t="s">
        <v>66</v>
      </c>
      <c r="U645" t="s">
        <v>90</v>
      </c>
      <c r="V645" t="s">
        <v>66</v>
      </c>
      <c r="W645" t="s">
        <v>66</v>
      </c>
      <c r="X645" t="s">
        <v>66</v>
      </c>
      <c r="Y645" t="s">
        <v>66</v>
      </c>
      <c r="Z645" s="99" t="str">
        <f t="shared" ca="1" si="48"/>
        <v/>
      </c>
      <c r="AA645" s="101" t="str">
        <f t="shared" ca="1" si="49"/>
        <v/>
      </c>
    </row>
    <row r="646" spans="2:27" ht="27.6" customHeight="1">
      <c r="B646">
        <f t="shared" ca="1" si="45"/>
        <v>0</v>
      </c>
      <c r="C646" t="s">
        <v>36</v>
      </c>
      <c r="G646" s="75">
        <v>1</v>
      </c>
      <c r="J646" s="66" t="str">
        <f t="shared" ca="1" si="46"/>
        <v>14%</v>
      </c>
      <c r="K646" t="s">
        <v>59</v>
      </c>
      <c r="L646" s="66" t="str">
        <f t="shared" ca="1" si="47"/>
        <v>Sin costo</v>
      </c>
      <c r="M646" t="s">
        <v>64</v>
      </c>
      <c r="N646" t="s">
        <v>66</v>
      </c>
      <c r="O646" t="s">
        <v>66</v>
      </c>
      <c r="P646" t="s">
        <v>66</v>
      </c>
      <c r="R646" t="s">
        <v>66</v>
      </c>
      <c r="U646" t="s">
        <v>90</v>
      </c>
      <c r="V646" t="s">
        <v>66</v>
      </c>
      <c r="W646" t="s">
        <v>66</v>
      </c>
      <c r="X646" t="s">
        <v>66</v>
      </c>
      <c r="Y646" t="s">
        <v>66</v>
      </c>
      <c r="Z646" s="99" t="str">
        <f t="shared" ca="1" si="48"/>
        <v/>
      </c>
      <c r="AA646" s="101" t="str">
        <f t="shared" ca="1" si="49"/>
        <v/>
      </c>
    </row>
    <row r="647" spans="2:27" ht="27.6" customHeight="1">
      <c r="B647">
        <f t="shared" ref="B647:B710" ca="1" si="50">LEN(INDIRECT(ADDRESS(ROW() + (0),COLUMN() + (-1))))</f>
        <v>0</v>
      </c>
      <c r="C647" t="s">
        <v>36</v>
      </c>
      <c r="G647" s="75">
        <v>1</v>
      </c>
      <c r="J647" s="66" t="str">
        <f t="shared" ref="J647:J710" ca="1" si="51">IF(INDIRECT(ADDRESS(ROW() + (0),COLUMN() + (1)))="Agregar cuotas", IF(("14%")="", "-", "14%"), IF(INDIRECT(ADDRESS(ROW() + (0),COLUMN() + (1)))="No agregar cuotas", IF(("14%")="", "-", "14%"), "-"))</f>
        <v>14%</v>
      </c>
      <c r="K647" t="s">
        <v>59</v>
      </c>
      <c r="L647" s="66" t="str">
        <f t="shared" ref="L647:L710" ca="1" si="52">IF(INDIRECT(ADDRESS(ROW() + (0),COLUMN() + (-1)))="Agregar cuotas", IF(("13.9%")="", "Sin costo", "13.9%"), IF(INDIRECT(ADDRESS(ROW() + (0),COLUMN() + (-1)))="No agregar cuotas", IF(("")="", "Sin costo", ""), "-"))</f>
        <v>Sin costo</v>
      </c>
      <c r="M647" t="s">
        <v>64</v>
      </c>
      <c r="N647" t="s">
        <v>66</v>
      </c>
      <c r="O647" t="s">
        <v>66</v>
      </c>
      <c r="P647" t="s">
        <v>66</v>
      </c>
      <c r="R647" t="s">
        <v>66</v>
      </c>
      <c r="U647" t="s">
        <v>90</v>
      </c>
      <c r="V647" t="s">
        <v>66</v>
      </c>
      <c r="W647" t="s">
        <v>66</v>
      </c>
      <c r="X647" t="s">
        <v>66</v>
      </c>
      <c r="Y647" t="s">
        <v>66</v>
      </c>
      <c r="Z647" s="99" t="str">
        <f t="shared" ref="Z647:Z710" ca="1" si="5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647" s="101" t="str">
        <f t="shared" ref="AA647:AA710" ca="1" si="54">IF(TRIM(INDIRECT("A"&amp;ROW())) &lt;&gt; "",FALSE,"")</f>
        <v/>
      </c>
    </row>
    <row r="648" spans="2:27" ht="27.6" customHeight="1">
      <c r="B648">
        <f t="shared" ca="1" si="50"/>
        <v>0</v>
      </c>
      <c r="C648" t="s">
        <v>36</v>
      </c>
      <c r="G648" s="75">
        <v>1</v>
      </c>
      <c r="J648" s="66" t="str">
        <f t="shared" ca="1" si="51"/>
        <v>14%</v>
      </c>
      <c r="K648" t="s">
        <v>59</v>
      </c>
      <c r="L648" s="66" t="str">
        <f t="shared" ca="1" si="52"/>
        <v>Sin costo</v>
      </c>
      <c r="M648" t="s">
        <v>64</v>
      </c>
      <c r="N648" t="s">
        <v>66</v>
      </c>
      <c r="O648" t="s">
        <v>66</v>
      </c>
      <c r="P648" t="s">
        <v>66</v>
      </c>
      <c r="R648" t="s">
        <v>66</v>
      </c>
      <c r="U648" t="s">
        <v>90</v>
      </c>
      <c r="V648" t="s">
        <v>66</v>
      </c>
      <c r="W648" t="s">
        <v>66</v>
      </c>
      <c r="X648" t="s">
        <v>66</v>
      </c>
      <c r="Y648" t="s">
        <v>66</v>
      </c>
      <c r="Z648" s="99" t="str">
        <f t="shared" ca="1" si="53"/>
        <v/>
      </c>
      <c r="AA648" s="101" t="str">
        <f t="shared" ca="1" si="54"/>
        <v/>
      </c>
    </row>
    <row r="649" spans="2:27" ht="27.6" customHeight="1">
      <c r="B649">
        <f t="shared" ca="1" si="50"/>
        <v>0</v>
      </c>
      <c r="C649" t="s">
        <v>36</v>
      </c>
      <c r="G649" s="75">
        <v>1</v>
      </c>
      <c r="J649" s="66" t="str">
        <f t="shared" ca="1" si="51"/>
        <v>14%</v>
      </c>
      <c r="K649" t="s">
        <v>59</v>
      </c>
      <c r="L649" s="66" t="str">
        <f t="shared" ca="1" si="52"/>
        <v>Sin costo</v>
      </c>
      <c r="M649" t="s">
        <v>64</v>
      </c>
      <c r="N649" t="s">
        <v>66</v>
      </c>
      <c r="O649" t="s">
        <v>66</v>
      </c>
      <c r="P649" t="s">
        <v>66</v>
      </c>
      <c r="R649" t="s">
        <v>66</v>
      </c>
      <c r="U649" t="s">
        <v>90</v>
      </c>
      <c r="V649" t="s">
        <v>66</v>
      </c>
      <c r="W649" t="s">
        <v>66</v>
      </c>
      <c r="X649" t="s">
        <v>66</v>
      </c>
      <c r="Y649" t="s">
        <v>66</v>
      </c>
      <c r="Z649" s="99" t="str">
        <f t="shared" ca="1" si="53"/>
        <v/>
      </c>
      <c r="AA649" s="101" t="str">
        <f t="shared" ca="1" si="54"/>
        <v/>
      </c>
    </row>
    <row r="650" spans="2:27" ht="27.6" customHeight="1">
      <c r="B650">
        <f t="shared" ca="1" si="50"/>
        <v>0</v>
      </c>
      <c r="C650" t="s">
        <v>36</v>
      </c>
      <c r="G650" s="75">
        <v>1</v>
      </c>
      <c r="J650" s="66" t="str">
        <f t="shared" ca="1" si="51"/>
        <v>14%</v>
      </c>
      <c r="K650" t="s">
        <v>59</v>
      </c>
      <c r="L650" s="66" t="str">
        <f t="shared" ca="1" si="52"/>
        <v>Sin costo</v>
      </c>
      <c r="M650" t="s">
        <v>64</v>
      </c>
      <c r="N650" t="s">
        <v>66</v>
      </c>
      <c r="O650" t="s">
        <v>66</v>
      </c>
      <c r="P650" t="s">
        <v>66</v>
      </c>
      <c r="R650" t="s">
        <v>66</v>
      </c>
      <c r="U650" t="s">
        <v>90</v>
      </c>
      <c r="V650" t="s">
        <v>66</v>
      </c>
      <c r="W650" t="s">
        <v>66</v>
      </c>
      <c r="X650" t="s">
        <v>66</v>
      </c>
      <c r="Y650" t="s">
        <v>66</v>
      </c>
      <c r="Z650" s="99" t="str">
        <f t="shared" ca="1" si="53"/>
        <v/>
      </c>
      <c r="AA650" s="101" t="str">
        <f t="shared" ca="1" si="54"/>
        <v/>
      </c>
    </row>
    <row r="651" spans="2:27" ht="27.6" customHeight="1">
      <c r="B651">
        <f t="shared" ca="1" si="50"/>
        <v>0</v>
      </c>
      <c r="C651" t="s">
        <v>36</v>
      </c>
      <c r="G651" s="75">
        <v>1</v>
      </c>
      <c r="J651" s="66" t="str">
        <f t="shared" ca="1" si="51"/>
        <v>14%</v>
      </c>
      <c r="K651" t="s">
        <v>59</v>
      </c>
      <c r="L651" s="66" t="str">
        <f t="shared" ca="1" si="52"/>
        <v>Sin costo</v>
      </c>
      <c r="M651" t="s">
        <v>64</v>
      </c>
      <c r="N651" t="s">
        <v>66</v>
      </c>
      <c r="O651" t="s">
        <v>66</v>
      </c>
      <c r="P651" t="s">
        <v>66</v>
      </c>
      <c r="R651" t="s">
        <v>66</v>
      </c>
      <c r="U651" t="s">
        <v>90</v>
      </c>
      <c r="V651" t="s">
        <v>66</v>
      </c>
      <c r="W651" t="s">
        <v>66</v>
      </c>
      <c r="X651" t="s">
        <v>66</v>
      </c>
      <c r="Y651" t="s">
        <v>66</v>
      </c>
      <c r="Z651" s="99" t="str">
        <f t="shared" ca="1" si="53"/>
        <v/>
      </c>
      <c r="AA651" s="101" t="str">
        <f t="shared" ca="1" si="54"/>
        <v/>
      </c>
    </row>
    <row r="652" spans="2:27" ht="27.6" customHeight="1">
      <c r="B652">
        <f t="shared" ca="1" si="50"/>
        <v>0</v>
      </c>
      <c r="C652" t="s">
        <v>36</v>
      </c>
      <c r="G652" s="75">
        <v>1</v>
      </c>
      <c r="J652" s="66" t="str">
        <f t="shared" ca="1" si="51"/>
        <v>14%</v>
      </c>
      <c r="K652" t="s">
        <v>59</v>
      </c>
      <c r="L652" s="66" t="str">
        <f t="shared" ca="1" si="52"/>
        <v>Sin costo</v>
      </c>
      <c r="M652" t="s">
        <v>64</v>
      </c>
      <c r="N652" t="s">
        <v>66</v>
      </c>
      <c r="O652" t="s">
        <v>66</v>
      </c>
      <c r="P652" t="s">
        <v>66</v>
      </c>
      <c r="R652" t="s">
        <v>66</v>
      </c>
      <c r="U652" t="s">
        <v>90</v>
      </c>
      <c r="V652" t="s">
        <v>66</v>
      </c>
      <c r="W652" t="s">
        <v>66</v>
      </c>
      <c r="X652" t="s">
        <v>66</v>
      </c>
      <c r="Y652" t="s">
        <v>66</v>
      </c>
      <c r="Z652" s="99" t="str">
        <f t="shared" ca="1" si="53"/>
        <v/>
      </c>
      <c r="AA652" s="101" t="str">
        <f t="shared" ca="1" si="54"/>
        <v/>
      </c>
    </row>
    <row r="653" spans="2:27" ht="27.6" customHeight="1">
      <c r="B653">
        <f t="shared" ca="1" si="50"/>
        <v>0</v>
      </c>
      <c r="C653" t="s">
        <v>36</v>
      </c>
      <c r="G653" s="75">
        <v>1</v>
      </c>
      <c r="J653" s="66" t="str">
        <f t="shared" ca="1" si="51"/>
        <v>14%</v>
      </c>
      <c r="K653" t="s">
        <v>59</v>
      </c>
      <c r="L653" s="66" t="str">
        <f t="shared" ca="1" si="52"/>
        <v>Sin costo</v>
      </c>
      <c r="M653" t="s">
        <v>64</v>
      </c>
      <c r="N653" t="s">
        <v>66</v>
      </c>
      <c r="O653" t="s">
        <v>66</v>
      </c>
      <c r="P653" t="s">
        <v>66</v>
      </c>
      <c r="R653" t="s">
        <v>66</v>
      </c>
      <c r="U653" t="s">
        <v>90</v>
      </c>
      <c r="V653" t="s">
        <v>66</v>
      </c>
      <c r="W653" t="s">
        <v>66</v>
      </c>
      <c r="X653" t="s">
        <v>66</v>
      </c>
      <c r="Y653" t="s">
        <v>66</v>
      </c>
      <c r="Z653" s="99" t="str">
        <f t="shared" ca="1" si="53"/>
        <v/>
      </c>
      <c r="AA653" s="101" t="str">
        <f t="shared" ca="1" si="54"/>
        <v/>
      </c>
    </row>
    <row r="654" spans="2:27" ht="27.6" customHeight="1">
      <c r="B654">
        <f t="shared" ca="1" si="50"/>
        <v>0</v>
      </c>
      <c r="C654" t="s">
        <v>36</v>
      </c>
      <c r="G654" s="75">
        <v>1</v>
      </c>
      <c r="J654" s="66" t="str">
        <f t="shared" ca="1" si="51"/>
        <v>14%</v>
      </c>
      <c r="K654" t="s">
        <v>59</v>
      </c>
      <c r="L654" s="66" t="str">
        <f t="shared" ca="1" si="52"/>
        <v>Sin costo</v>
      </c>
      <c r="M654" t="s">
        <v>64</v>
      </c>
      <c r="N654" t="s">
        <v>66</v>
      </c>
      <c r="O654" t="s">
        <v>66</v>
      </c>
      <c r="P654" t="s">
        <v>66</v>
      </c>
      <c r="R654" t="s">
        <v>66</v>
      </c>
      <c r="U654" t="s">
        <v>90</v>
      </c>
      <c r="V654" t="s">
        <v>66</v>
      </c>
      <c r="W654" t="s">
        <v>66</v>
      </c>
      <c r="X654" t="s">
        <v>66</v>
      </c>
      <c r="Y654" t="s">
        <v>66</v>
      </c>
      <c r="Z654" s="99" t="str">
        <f t="shared" ca="1" si="53"/>
        <v/>
      </c>
      <c r="AA654" s="101" t="str">
        <f t="shared" ca="1" si="54"/>
        <v/>
      </c>
    </row>
    <row r="655" spans="2:27" ht="27.6" customHeight="1">
      <c r="B655">
        <f t="shared" ca="1" si="50"/>
        <v>0</v>
      </c>
      <c r="C655" t="s">
        <v>36</v>
      </c>
      <c r="G655" s="75">
        <v>1</v>
      </c>
      <c r="J655" s="66" t="str">
        <f t="shared" ca="1" si="51"/>
        <v>14%</v>
      </c>
      <c r="K655" t="s">
        <v>59</v>
      </c>
      <c r="L655" s="66" t="str">
        <f t="shared" ca="1" si="52"/>
        <v>Sin costo</v>
      </c>
      <c r="M655" t="s">
        <v>64</v>
      </c>
      <c r="N655" t="s">
        <v>66</v>
      </c>
      <c r="O655" t="s">
        <v>66</v>
      </c>
      <c r="P655" t="s">
        <v>66</v>
      </c>
      <c r="R655" t="s">
        <v>66</v>
      </c>
      <c r="U655" t="s">
        <v>90</v>
      </c>
      <c r="V655" t="s">
        <v>66</v>
      </c>
      <c r="W655" t="s">
        <v>66</v>
      </c>
      <c r="X655" t="s">
        <v>66</v>
      </c>
      <c r="Y655" t="s">
        <v>66</v>
      </c>
      <c r="Z655" s="99" t="str">
        <f t="shared" ca="1" si="53"/>
        <v/>
      </c>
      <c r="AA655" s="101" t="str">
        <f t="shared" ca="1" si="54"/>
        <v/>
      </c>
    </row>
    <row r="656" spans="2:27" ht="27.6" customHeight="1">
      <c r="B656">
        <f t="shared" ca="1" si="50"/>
        <v>0</v>
      </c>
      <c r="C656" t="s">
        <v>36</v>
      </c>
      <c r="G656" s="75">
        <v>1</v>
      </c>
      <c r="J656" s="66" t="str">
        <f t="shared" ca="1" si="51"/>
        <v>14%</v>
      </c>
      <c r="K656" t="s">
        <v>59</v>
      </c>
      <c r="L656" s="66" t="str">
        <f t="shared" ca="1" si="52"/>
        <v>Sin costo</v>
      </c>
      <c r="M656" t="s">
        <v>64</v>
      </c>
      <c r="N656" t="s">
        <v>66</v>
      </c>
      <c r="O656" t="s">
        <v>66</v>
      </c>
      <c r="P656" t="s">
        <v>66</v>
      </c>
      <c r="R656" t="s">
        <v>66</v>
      </c>
      <c r="U656" t="s">
        <v>90</v>
      </c>
      <c r="V656" t="s">
        <v>66</v>
      </c>
      <c r="W656" t="s">
        <v>66</v>
      </c>
      <c r="X656" t="s">
        <v>66</v>
      </c>
      <c r="Y656" t="s">
        <v>66</v>
      </c>
      <c r="Z656" s="99" t="str">
        <f t="shared" ca="1" si="53"/>
        <v/>
      </c>
      <c r="AA656" s="101" t="str">
        <f t="shared" ca="1" si="54"/>
        <v/>
      </c>
    </row>
    <row r="657" spans="2:27" ht="27.6" customHeight="1">
      <c r="B657">
        <f t="shared" ca="1" si="50"/>
        <v>0</v>
      </c>
      <c r="C657" t="s">
        <v>36</v>
      </c>
      <c r="G657" s="75">
        <v>1</v>
      </c>
      <c r="J657" s="66" t="str">
        <f t="shared" ca="1" si="51"/>
        <v>14%</v>
      </c>
      <c r="K657" t="s">
        <v>59</v>
      </c>
      <c r="L657" s="66" t="str">
        <f t="shared" ca="1" si="52"/>
        <v>Sin costo</v>
      </c>
      <c r="M657" t="s">
        <v>64</v>
      </c>
      <c r="N657" t="s">
        <v>66</v>
      </c>
      <c r="O657" t="s">
        <v>66</v>
      </c>
      <c r="P657" t="s">
        <v>66</v>
      </c>
      <c r="R657" t="s">
        <v>66</v>
      </c>
      <c r="U657" t="s">
        <v>90</v>
      </c>
      <c r="V657" t="s">
        <v>66</v>
      </c>
      <c r="W657" t="s">
        <v>66</v>
      </c>
      <c r="X657" t="s">
        <v>66</v>
      </c>
      <c r="Y657" t="s">
        <v>66</v>
      </c>
      <c r="Z657" s="99" t="str">
        <f t="shared" ca="1" si="53"/>
        <v/>
      </c>
      <c r="AA657" s="101" t="str">
        <f t="shared" ca="1" si="54"/>
        <v/>
      </c>
    </row>
    <row r="658" spans="2:27" ht="27.6" customHeight="1">
      <c r="B658">
        <f t="shared" ca="1" si="50"/>
        <v>0</v>
      </c>
      <c r="C658" t="s">
        <v>36</v>
      </c>
      <c r="G658" s="75">
        <v>1</v>
      </c>
      <c r="J658" s="66" t="str">
        <f t="shared" ca="1" si="51"/>
        <v>14%</v>
      </c>
      <c r="K658" t="s">
        <v>59</v>
      </c>
      <c r="L658" s="66" t="str">
        <f t="shared" ca="1" si="52"/>
        <v>Sin costo</v>
      </c>
      <c r="M658" t="s">
        <v>64</v>
      </c>
      <c r="N658" t="s">
        <v>66</v>
      </c>
      <c r="O658" t="s">
        <v>66</v>
      </c>
      <c r="P658" t="s">
        <v>66</v>
      </c>
      <c r="R658" t="s">
        <v>66</v>
      </c>
      <c r="U658" t="s">
        <v>90</v>
      </c>
      <c r="V658" t="s">
        <v>66</v>
      </c>
      <c r="W658" t="s">
        <v>66</v>
      </c>
      <c r="X658" t="s">
        <v>66</v>
      </c>
      <c r="Y658" t="s">
        <v>66</v>
      </c>
      <c r="Z658" s="99" t="str">
        <f t="shared" ca="1" si="53"/>
        <v/>
      </c>
      <c r="AA658" s="101" t="str">
        <f t="shared" ca="1" si="54"/>
        <v/>
      </c>
    </row>
    <row r="659" spans="2:27" ht="27.6" customHeight="1">
      <c r="B659">
        <f t="shared" ca="1" si="50"/>
        <v>0</v>
      </c>
      <c r="C659" t="s">
        <v>36</v>
      </c>
      <c r="G659" s="75">
        <v>1</v>
      </c>
      <c r="J659" s="66" t="str">
        <f t="shared" ca="1" si="51"/>
        <v>14%</v>
      </c>
      <c r="K659" t="s">
        <v>59</v>
      </c>
      <c r="L659" s="66" t="str">
        <f t="shared" ca="1" si="52"/>
        <v>Sin costo</v>
      </c>
      <c r="M659" t="s">
        <v>64</v>
      </c>
      <c r="N659" t="s">
        <v>66</v>
      </c>
      <c r="O659" t="s">
        <v>66</v>
      </c>
      <c r="P659" t="s">
        <v>66</v>
      </c>
      <c r="R659" t="s">
        <v>66</v>
      </c>
      <c r="U659" t="s">
        <v>90</v>
      </c>
      <c r="V659" t="s">
        <v>66</v>
      </c>
      <c r="W659" t="s">
        <v>66</v>
      </c>
      <c r="X659" t="s">
        <v>66</v>
      </c>
      <c r="Y659" t="s">
        <v>66</v>
      </c>
      <c r="Z659" s="99" t="str">
        <f t="shared" ca="1" si="53"/>
        <v/>
      </c>
      <c r="AA659" s="101" t="str">
        <f t="shared" ca="1" si="54"/>
        <v/>
      </c>
    </row>
    <row r="660" spans="2:27" ht="27.6" customHeight="1">
      <c r="B660">
        <f t="shared" ca="1" si="50"/>
        <v>0</v>
      </c>
      <c r="C660" t="s">
        <v>36</v>
      </c>
      <c r="G660" s="75">
        <v>1</v>
      </c>
      <c r="J660" s="66" t="str">
        <f t="shared" ca="1" si="51"/>
        <v>14%</v>
      </c>
      <c r="K660" t="s">
        <v>59</v>
      </c>
      <c r="L660" s="66" t="str">
        <f t="shared" ca="1" si="52"/>
        <v>Sin costo</v>
      </c>
      <c r="M660" t="s">
        <v>64</v>
      </c>
      <c r="N660" t="s">
        <v>66</v>
      </c>
      <c r="O660" t="s">
        <v>66</v>
      </c>
      <c r="P660" t="s">
        <v>66</v>
      </c>
      <c r="R660" t="s">
        <v>66</v>
      </c>
      <c r="U660" t="s">
        <v>90</v>
      </c>
      <c r="V660" t="s">
        <v>66</v>
      </c>
      <c r="W660" t="s">
        <v>66</v>
      </c>
      <c r="X660" t="s">
        <v>66</v>
      </c>
      <c r="Y660" t="s">
        <v>66</v>
      </c>
      <c r="Z660" s="99" t="str">
        <f t="shared" ca="1" si="53"/>
        <v/>
      </c>
      <c r="AA660" s="101" t="str">
        <f t="shared" ca="1" si="54"/>
        <v/>
      </c>
    </row>
    <row r="661" spans="2:27" ht="27.6" customHeight="1">
      <c r="B661">
        <f t="shared" ca="1" si="50"/>
        <v>0</v>
      </c>
      <c r="C661" t="s">
        <v>36</v>
      </c>
      <c r="G661" s="75">
        <v>1</v>
      </c>
      <c r="J661" s="66" t="str">
        <f t="shared" ca="1" si="51"/>
        <v>14%</v>
      </c>
      <c r="K661" t="s">
        <v>59</v>
      </c>
      <c r="L661" s="66" t="str">
        <f t="shared" ca="1" si="52"/>
        <v>Sin costo</v>
      </c>
      <c r="M661" t="s">
        <v>64</v>
      </c>
      <c r="N661" t="s">
        <v>66</v>
      </c>
      <c r="O661" t="s">
        <v>66</v>
      </c>
      <c r="P661" t="s">
        <v>66</v>
      </c>
      <c r="R661" t="s">
        <v>66</v>
      </c>
      <c r="U661" t="s">
        <v>90</v>
      </c>
      <c r="V661" t="s">
        <v>66</v>
      </c>
      <c r="W661" t="s">
        <v>66</v>
      </c>
      <c r="X661" t="s">
        <v>66</v>
      </c>
      <c r="Y661" t="s">
        <v>66</v>
      </c>
      <c r="Z661" s="99" t="str">
        <f t="shared" ca="1" si="53"/>
        <v/>
      </c>
      <c r="AA661" s="101" t="str">
        <f t="shared" ca="1" si="54"/>
        <v/>
      </c>
    </row>
    <row r="662" spans="2:27" ht="27.6" customHeight="1">
      <c r="B662">
        <f t="shared" ca="1" si="50"/>
        <v>0</v>
      </c>
      <c r="C662" t="s">
        <v>36</v>
      </c>
      <c r="G662" s="75">
        <v>1</v>
      </c>
      <c r="J662" s="66" t="str">
        <f t="shared" ca="1" si="51"/>
        <v>14%</v>
      </c>
      <c r="K662" t="s">
        <v>59</v>
      </c>
      <c r="L662" s="66" t="str">
        <f t="shared" ca="1" si="52"/>
        <v>Sin costo</v>
      </c>
      <c r="M662" t="s">
        <v>64</v>
      </c>
      <c r="N662" t="s">
        <v>66</v>
      </c>
      <c r="O662" t="s">
        <v>66</v>
      </c>
      <c r="P662" t="s">
        <v>66</v>
      </c>
      <c r="R662" t="s">
        <v>66</v>
      </c>
      <c r="U662" t="s">
        <v>90</v>
      </c>
      <c r="V662" t="s">
        <v>66</v>
      </c>
      <c r="W662" t="s">
        <v>66</v>
      </c>
      <c r="X662" t="s">
        <v>66</v>
      </c>
      <c r="Y662" t="s">
        <v>66</v>
      </c>
      <c r="Z662" s="99" t="str">
        <f t="shared" ca="1" si="53"/>
        <v/>
      </c>
      <c r="AA662" s="101" t="str">
        <f t="shared" ca="1" si="54"/>
        <v/>
      </c>
    </row>
    <row r="663" spans="2:27" ht="27.6" customHeight="1">
      <c r="B663">
        <f t="shared" ca="1" si="50"/>
        <v>0</v>
      </c>
      <c r="C663" t="s">
        <v>36</v>
      </c>
      <c r="G663" s="75">
        <v>1</v>
      </c>
      <c r="J663" s="66" t="str">
        <f t="shared" ca="1" si="51"/>
        <v>14%</v>
      </c>
      <c r="K663" t="s">
        <v>59</v>
      </c>
      <c r="L663" s="66" t="str">
        <f t="shared" ca="1" si="52"/>
        <v>Sin costo</v>
      </c>
      <c r="M663" t="s">
        <v>64</v>
      </c>
      <c r="N663" t="s">
        <v>66</v>
      </c>
      <c r="O663" t="s">
        <v>66</v>
      </c>
      <c r="P663" t="s">
        <v>66</v>
      </c>
      <c r="R663" t="s">
        <v>66</v>
      </c>
      <c r="U663" t="s">
        <v>90</v>
      </c>
      <c r="V663" t="s">
        <v>66</v>
      </c>
      <c r="W663" t="s">
        <v>66</v>
      </c>
      <c r="X663" t="s">
        <v>66</v>
      </c>
      <c r="Y663" t="s">
        <v>66</v>
      </c>
      <c r="Z663" s="99" t="str">
        <f t="shared" ca="1" si="53"/>
        <v/>
      </c>
      <c r="AA663" s="101" t="str">
        <f t="shared" ca="1" si="54"/>
        <v/>
      </c>
    </row>
    <row r="664" spans="2:27" ht="27.6" customHeight="1">
      <c r="B664">
        <f t="shared" ca="1" si="50"/>
        <v>0</v>
      </c>
      <c r="C664" t="s">
        <v>36</v>
      </c>
      <c r="G664" s="75">
        <v>1</v>
      </c>
      <c r="J664" s="66" t="str">
        <f t="shared" ca="1" si="51"/>
        <v>14%</v>
      </c>
      <c r="K664" t="s">
        <v>59</v>
      </c>
      <c r="L664" s="66" t="str">
        <f t="shared" ca="1" si="52"/>
        <v>Sin costo</v>
      </c>
      <c r="M664" t="s">
        <v>64</v>
      </c>
      <c r="N664" t="s">
        <v>66</v>
      </c>
      <c r="O664" t="s">
        <v>66</v>
      </c>
      <c r="P664" t="s">
        <v>66</v>
      </c>
      <c r="R664" t="s">
        <v>66</v>
      </c>
      <c r="U664" t="s">
        <v>90</v>
      </c>
      <c r="V664" t="s">
        <v>66</v>
      </c>
      <c r="W664" t="s">
        <v>66</v>
      </c>
      <c r="X664" t="s">
        <v>66</v>
      </c>
      <c r="Y664" t="s">
        <v>66</v>
      </c>
      <c r="Z664" s="99" t="str">
        <f t="shared" ca="1" si="53"/>
        <v/>
      </c>
      <c r="AA664" s="101" t="str">
        <f t="shared" ca="1" si="54"/>
        <v/>
      </c>
    </row>
    <row r="665" spans="2:27" ht="27.6" customHeight="1">
      <c r="B665">
        <f t="shared" ca="1" si="50"/>
        <v>0</v>
      </c>
      <c r="C665" t="s">
        <v>36</v>
      </c>
      <c r="G665" s="75">
        <v>1</v>
      </c>
      <c r="J665" s="66" t="str">
        <f t="shared" ca="1" si="51"/>
        <v>14%</v>
      </c>
      <c r="K665" t="s">
        <v>59</v>
      </c>
      <c r="L665" s="66" t="str">
        <f t="shared" ca="1" si="52"/>
        <v>Sin costo</v>
      </c>
      <c r="M665" t="s">
        <v>64</v>
      </c>
      <c r="N665" t="s">
        <v>66</v>
      </c>
      <c r="O665" t="s">
        <v>66</v>
      </c>
      <c r="P665" t="s">
        <v>66</v>
      </c>
      <c r="R665" t="s">
        <v>66</v>
      </c>
      <c r="U665" t="s">
        <v>90</v>
      </c>
      <c r="V665" t="s">
        <v>66</v>
      </c>
      <c r="W665" t="s">
        <v>66</v>
      </c>
      <c r="X665" t="s">
        <v>66</v>
      </c>
      <c r="Y665" t="s">
        <v>66</v>
      </c>
      <c r="Z665" s="99" t="str">
        <f t="shared" ca="1" si="53"/>
        <v/>
      </c>
      <c r="AA665" s="101" t="str">
        <f t="shared" ca="1" si="54"/>
        <v/>
      </c>
    </row>
    <row r="666" spans="2:27" ht="27.6" customHeight="1">
      <c r="B666">
        <f t="shared" ca="1" si="50"/>
        <v>0</v>
      </c>
      <c r="C666" t="s">
        <v>36</v>
      </c>
      <c r="G666" s="75">
        <v>1</v>
      </c>
      <c r="J666" s="66" t="str">
        <f t="shared" ca="1" si="51"/>
        <v>14%</v>
      </c>
      <c r="K666" t="s">
        <v>59</v>
      </c>
      <c r="L666" s="66" t="str">
        <f t="shared" ca="1" si="52"/>
        <v>Sin costo</v>
      </c>
      <c r="M666" t="s">
        <v>64</v>
      </c>
      <c r="N666" t="s">
        <v>66</v>
      </c>
      <c r="O666" t="s">
        <v>66</v>
      </c>
      <c r="P666" t="s">
        <v>66</v>
      </c>
      <c r="R666" t="s">
        <v>66</v>
      </c>
      <c r="U666" t="s">
        <v>90</v>
      </c>
      <c r="V666" t="s">
        <v>66</v>
      </c>
      <c r="W666" t="s">
        <v>66</v>
      </c>
      <c r="X666" t="s">
        <v>66</v>
      </c>
      <c r="Y666" t="s">
        <v>66</v>
      </c>
      <c r="Z666" s="99" t="str">
        <f t="shared" ca="1" si="53"/>
        <v/>
      </c>
      <c r="AA666" s="101" t="str">
        <f t="shared" ca="1" si="54"/>
        <v/>
      </c>
    </row>
    <row r="667" spans="2:27" ht="27.6" customHeight="1">
      <c r="B667">
        <f t="shared" ca="1" si="50"/>
        <v>0</v>
      </c>
      <c r="C667" t="s">
        <v>36</v>
      </c>
      <c r="G667" s="75">
        <v>1</v>
      </c>
      <c r="J667" s="66" t="str">
        <f t="shared" ca="1" si="51"/>
        <v>14%</v>
      </c>
      <c r="K667" t="s">
        <v>59</v>
      </c>
      <c r="L667" s="66" t="str">
        <f t="shared" ca="1" si="52"/>
        <v>Sin costo</v>
      </c>
      <c r="M667" t="s">
        <v>64</v>
      </c>
      <c r="N667" t="s">
        <v>66</v>
      </c>
      <c r="O667" t="s">
        <v>66</v>
      </c>
      <c r="P667" t="s">
        <v>66</v>
      </c>
      <c r="R667" t="s">
        <v>66</v>
      </c>
      <c r="U667" t="s">
        <v>90</v>
      </c>
      <c r="V667" t="s">
        <v>66</v>
      </c>
      <c r="W667" t="s">
        <v>66</v>
      </c>
      <c r="X667" t="s">
        <v>66</v>
      </c>
      <c r="Y667" t="s">
        <v>66</v>
      </c>
      <c r="Z667" s="99" t="str">
        <f t="shared" ca="1" si="53"/>
        <v/>
      </c>
      <c r="AA667" s="101" t="str">
        <f t="shared" ca="1" si="54"/>
        <v/>
      </c>
    </row>
    <row r="668" spans="2:27" ht="27.6" customHeight="1">
      <c r="B668">
        <f t="shared" ca="1" si="50"/>
        <v>0</v>
      </c>
      <c r="C668" t="s">
        <v>36</v>
      </c>
      <c r="G668" s="75">
        <v>1</v>
      </c>
      <c r="J668" s="66" t="str">
        <f t="shared" ca="1" si="51"/>
        <v>14%</v>
      </c>
      <c r="K668" t="s">
        <v>59</v>
      </c>
      <c r="L668" s="66" t="str">
        <f t="shared" ca="1" si="52"/>
        <v>Sin costo</v>
      </c>
      <c r="M668" t="s">
        <v>64</v>
      </c>
      <c r="N668" t="s">
        <v>66</v>
      </c>
      <c r="O668" t="s">
        <v>66</v>
      </c>
      <c r="P668" t="s">
        <v>66</v>
      </c>
      <c r="R668" t="s">
        <v>66</v>
      </c>
      <c r="U668" t="s">
        <v>90</v>
      </c>
      <c r="V668" t="s">
        <v>66</v>
      </c>
      <c r="W668" t="s">
        <v>66</v>
      </c>
      <c r="X668" t="s">
        <v>66</v>
      </c>
      <c r="Y668" t="s">
        <v>66</v>
      </c>
      <c r="Z668" s="99" t="str">
        <f t="shared" ca="1" si="53"/>
        <v/>
      </c>
      <c r="AA668" s="101" t="str">
        <f t="shared" ca="1" si="54"/>
        <v/>
      </c>
    </row>
    <row r="669" spans="2:27" ht="27.6" customHeight="1">
      <c r="B669">
        <f t="shared" ca="1" si="50"/>
        <v>0</v>
      </c>
      <c r="C669" t="s">
        <v>36</v>
      </c>
      <c r="G669" s="75">
        <v>1</v>
      </c>
      <c r="J669" s="66" t="str">
        <f t="shared" ca="1" si="51"/>
        <v>14%</v>
      </c>
      <c r="K669" t="s">
        <v>59</v>
      </c>
      <c r="L669" s="66" t="str">
        <f t="shared" ca="1" si="52"/>
        <v>Sin costo</v>
      </c>
      <c r="M669" t="s">
        <v>64</v>
      </c>
      <c r="N669" t="s">
        <v>66</v>
      </c>
      <c r="O669" t="s">
        <v>66</v>
      </c>
      <c r="P669" t="s">
        <v>66</v>
      </c>
      <c r="R669" t="s">
        <v>66</v>
      </c>
      <c r="U669" t="s">
        <v>90</v>
      </c>
      <c r="V669" t="s">
        <v>66</v>
      </c>
      <c r="W669" t="s">
        <v>66</v>
      </c>
      <c r="X669" t="s">
        <v>66</v>
      </c>
      <c r="Y669" t="s">
        <v>66</v>
      </c>
      <c r="Z669" s="99" t="str">
        <f t="shared" ca="1" si="53"/>
        <v/>
      </c>
      <c r="AA669" s="101" t="str">
        <f t="shared" ca="1" si="54"/>
        <v/>
      </c>
    </row>
    <row r="670" spans="2:27" ht="27.6" customHeight="1">
      <c r="B670">
        <f t="shared" ca="1" si="50"/>
        <v>0</v>
      </c>
      <c r="C670" t="s">
        <v>36</v>
      </c>
      <c r="G670" s="75">
        <v>1</v>
      </c>
      <c r="J670" s="66" t="str">
        <f t="shared" ca="1" si="51"/>
        <v>14%</v>
      </c>
      <c r="K670" t="s">
        <v>59</v>
      </c>
      <c r="L670" s="66" t="str">
        <f t="shared" ca="1" si="52"/>
        <v>Sin costo</v>
      </c>
      <c r="M670" t="s">
        <v>64</v>
      </c>
      <c r="N670" t="s">
        <v>66</v>
      </c>
      <c r="O670" t="s">
        <v>66</v>
      </c>
      <c r="P670" t="s">
        <v>66</v>
      </c>
      <c r="R670" t="s">
        <v>66</v>
      </c>
      <c r="U670" t="s">
        <v>90</v>
      </c>
      <c r="V670" t="s">
        <v>66</v>
      </c>
      <c r="W670" t="s">
        <v>66</v>
      </c>
      <c r="X670" t="s">
        <v>66</v>
      </c>
      <c r="Y670" t="s">
        <v>66</v>
      </c>
      <c r="Z670" s="99" t="str">
        <f t="shared" ca="1" si="53"/>
        <v/>
      </c>
      <c r="AA670" s="101" t="str">
        <f t="shared" ca="1" si="54"/>
        <v/>
      </c>
    </row>
    <row r="671" spans="2:27" ht="27.6" customHeight="1">
      <c r="B671">
        <f t="shared" ca="1" si="50"/>
        <v>0</v>
      </c>
      <c r="C671" t="s">
        <v>36</v>
      </c>
      <c r="G671" s="75">
        <v>1</v>
      </c>
      <c r="J671" s="66" t="str">
        <f t="shared" ca="1" si="51"/>
        <v>14%</v>
      </c>
      <c r="K671" t="s">
        <v>59</v>
      </c>
      <c r="L671" s="66" t="str">
        <f t="shared" ca="1" si="52"/>
        <v>Sin costo</v>
      </c>
      <c r="M671" t="s">
        <v>64</v>
      </c>
      <c r="N671" t="s">
        <v>66</v>
      </c>
      <c r="O671" t="s">
        <v>66</v>
      </c>
      <c r="P671" t="s">
        <v>66</v>
      </c>
      <c r="R671" t="s">
        <v>66</v>
      </c>
      <c r="U671" t="s">
        <v>90</v>
      </c>
      <c r="V671" t="s">
        <v>66</v>
      </c>
      <c r="W671" t="s">
        <v>66</v>
      </c>
      <c r="X671" t="s">
        <v>66</v>
      </c>
      <c r="Y671" t="s">
        <v>66</v>
      </c>
      <c r="Z671" s="99" t="str">
        <f t="shared" ca="1" si="53"/>
        <v/>
      </c>
      <c r="AA671" s="101" t="str">
        <f t="shared" ca="1" si="54"/>
        <v/>
      </c>
    </row>
    <row r="672" spans="2:27" ht="27.6" customHeight="1">
      <c r="B672">
        <f t="shared" ca="1" si="50"/>
        <v>0</v>
      </c>
      <c r="C672" t="s">
        <v>36</v>
      </c>
      <c r="G672" s="75">
        <v>1</v>
      </c>
      <c r="J672" s="66" t="str">
        <f t="shared" ca="1" si="51"/>
        <v>14%</v>
      </c>
      <c r="K672" t="s">
        <v>59</v>
      </c>
      <c r="L672" s="66" t="str">
        <f t="shared" ca="1" si="52"/>
        <v>Sin costo</v>
      </c>
      <c r="M672" t="s">
        <v>64</v>
      </c>
      <c r="N672" t="s">
        <v>66</v>
      </c>
      <c r="O672" t="s">
        <v>66</v>
      </c>
      <c r="P672" t="s">
        <v>66</v>
      </c>
      <c r="R672" t="s">
        <v>66</v>
      </c>
      <c r="U672" t="s">
        <v>90</v>
      </c>
      <c r="V672" t="s">
        <v>66</v>
      </c>
      <c r="W672" t="s">
        <v>66</v>
      </c>
      <c r="X672" t="s">
        <v>66</v>
      </c>
      <c r="Y672" t="s">
        <v>66</v>
      </c>
      <c r="Z672" s="99" t="str">
        <f t="shared" ca="1" si="53"/>
        <v/>
      </c>
      <c r="AA672" s="101" t="str">
        <f t="shared" ca="1" si="54"/>
        <v/>
      </c>
    </row>
    <row r="673" spans="2:27" ht="27.6" customHeight="1">
      <c r="B673">
        <f t="shared" ca="1" si="50"/>
        <v>0</v>
      </c>
      <c r="C673" t="s">
        <v>36</v>
      </c>
      <c r="G673" s="75">
        <v>1</v>
      </c>
      <c r="J673" s="66" t="str">
        <f t="shared" ca="1" si="51"/>
        <v>14%</v>
      </c>
      <c r="K673" t="s">
        <v>59</v>
      </c>
      <c r="L673" s="66" t="str">
        <f t="shared" ca="1" si="52"/>
        <v>Sin costo</v>
      </c>
      <c r="M673" t="s">
        <v>64</v>
      </c>
      <c r="N673" t="s">
        <v>66</v>
      </c>
      <c r="O673" t="s">
        <v>66</v>
      </c>
      <c r="P673" t="s">
        <v>66</v>
      </c>
      <c r="R673" t="s">
        <v>66</v>
      </c>
      <c r="U673" t="s">
        <v>90</v>
      </c>
      <c r="V673" t="s">
        <v>66</v>
      </c>
      <c r="W673" t="s">
        <v>66</v>
      </c>
      <c r="X673" t="s">
        <v>66</v>
      </c>
      <c r="Y673" t="s">
        <v>66</v>
      </c>
      <c r="Z673" s="99" t="str">
        <f t="shared" ca="1" si="53"/>
        <v/>
      </c>
      <c r="AA673" s="101" t="str">
        <f t="shared" ca="1" si="54"/>
        <v/>
      </c>
    </row>
    <row r="674" spans="2:27" ht="27.6" customHeight="1">
      <c r="B674">
        <f t="shared" ca="1" si="50"/>
        <v>0</v>
      </c>
      <c r="C674" t="s">
        <v>36</v>
      </c>
      <c r="G674" s="75">
        <v>1</v>
      </c>
      <c r="J674" s="66" t="str">
        <f t="shared" ca="1" si="51"/>
        <v>14%</v>
      </c>
      <c r="K674" t="s">
        <v>59</v>
      </c>
      <c r="L674" s="66" t="str">
        <f t="shared" ca="1" si="52"/>
        <v>Sin costo</v>
      </c>
      <c r="M674" t="s">
        <v>64</v>
      </c>
      <c r="N674" t="s">
        <v>66</v>
      </c>
      <c r="O674" t="s">
        <v>66</v>
      </c>
      <c r="P674" t="s">
        <v>66</v>
      </c>
      <c r="R674" t="s">
        <v>66</v>
      </c>
      <c r="U674" t="s">
        <v>90</v>
      </c>
      <c r="V674" t="s">
        <v>66</v>
      </c>
      <c r="W674" t="s">
        <v>66</v>
      </c>
      <c r="X674" t="s">
        <v>66</v>
      </c>
      <c r="Y674" t="s">
        <v>66</v>
      </c>
      <c r="Z674" s="99" t="str">
        <f t="shared" ca="1" si="53"/>
        <v/>
      </c>
      <c r="AA674" s="101" t="str">
        <f t="shared" ca="1" si="54"/>
        <v/>
      </c>
    </row>
    <row r="675" spans="2:27" ht="27.6" customHeight="1">
      <c r="B675">
        <f t="shared" ca="1" si="50"/>
        <v>0</v>
      </c>
      <c r="C675" t="s">
        <v>36</v>
      </c>
      <c r="G675" s="75">
        <v>1</v>
      </c>
      <c r="J675" s="66" t="str">
        <f t="shared" ca="1" si="51"/>
        <v>14%</v>
      </c>
      <c r="K675" t="s">
        <v>59</v>
      </c>
      <c r="L675" s="66" t="str">
        <f t="shared" ca="1" si="52"/>
        <v>Sin costo</v>
      </c>
      <c r="M675" t="s">
        <v>64</v>
      </c>
      <c r="N675" t="s">
        <v>66</v>
      </c>
      <c r="O675" t="s">
        <v>66</v>
      </c>
      <c r="P675" t="s">
        <v>66</v>
      </c>
      <c r="R675" t="s">
        <v>66</v>
      </c>
      <c r="U675" t="s">
        <v>90</v>
      </c>
      <c r="V675" t="s">
        <v>66</v>
      </c>
      <c r="W675" t="s">
        <v>66</v>
      </c>
      <c r="X675" t="s">
        <v>66</v>
      </c>
      <c r="Y675" t="s">
        <v>66</v>
      </c>
      <c r="Z675" s="99" t="str">
        <f t="shared" ca="1" si="53"/>
        <v/>
      </c>
      <c r="AA675" s="101" t="str">
        <f t="shared" ca="1" si="54"/>
        <v/>
      </c>
    </row>
    <row r="676" spans="2:27" ht="27.6" customHeight="1">
      <c r="B676">
        <f t="shared" ca="1" si="50"/>
        <v>0</v>
      </c>
      <c r="C676" t="s">
        <v>36</v>
      </c>
      <c r="G676" s="75">
        <v>1</v>
      </c>
      <c r="J676" s="66" t="str">
        <f t="shared" ca="1" si="51"/>
        <v>14%</v>
      </c>
      <c r="K676" t="s">
        <v>59</v>
      </c>
      <c r="L676" s="66" t="str">
        <f t="shared" ca="1" si="52"/>
        <v>Sin costo</v>
      </c>
      <c r="M676" t="s">
        <v>64</v>
      </c>
      <c r="N676" t="s">
        <v>66</v>
      </c>
      <c r="O676" t="s">
        <v>66</v>
      </c>
      <c r="P676" t="s">
        <v>66</v>
      </c>
      <c r="R676" t="s">
        <v>66</v>
      </c>
      <c r="U676" t="s">
        <v>90</v>
      </c>
      <c r="V676" t="s">
        <v>66</v>
      </c>
      <c r="W676" t="s">
        <v>66</v>
      </c>
      <c r="X676" t="s">
        <v>66</v>
      </c>
      <c r="Y676" t="s">
        <v>66</v>
      </c>
      <c r="Z676" s="99" t="str">
        <f t="shared" ca="1" si="53"/>
        <v/>
      </c>
      <c r="AA676" s="101" t="str">
        <f t="shared" ca="1" si="54"/>
        <v/>
      </c>
    </row>
    <row r="677" spans="2:27" ht="27.6" customHeight="1">
      <c r="B677">
        <f t="shared" ca="1" si="50"/>
        <v>0</v>
      </c>
      <c r="C677" t="s">
        <v>36</v>
      </c>
      <c r="G677" s="75">
        <v>1</v>
      </c>
      <c r="J677" s="66" t="str">
        <f t="shared" ca="1" si="51"/>
        <v>14%</v>
      </c>
      <c r="K677" t="s">
        <v>59</v>
      </c>
      <c r="L677" s="66" t="str">
        <f t="shared" ca="1" si="52"/>
        <v>Sin costo</v>
      </c>
      <c r="M677" t="s">
        <v>64</v>
      </c>
      <c r="N677" t="s">
        <v>66</v>
      </c>
      <c r="O677" t="s">
        <v>66</v>
      </c>
      <c r="P677" t="s">
        <v>66</v>
      </c>
      <c r="R677" t="s">
        <v>66</v>
      </c>
      <c r="U677" t="s">
        <v>90</v>
      </c>
      <c r="V677" t="s">
        <v>66</v>
      </c>
      <c r="W677" t="s">
        <v>66</v>
      </c>
      <c r="X677" t="s">
        <v>66</v>
      </c>
      <c r="Y677" t="s">
        <v>66</v>
      </c>
      <c r="Z677" s="99" t="str">
        <f t="shared" ca="1" si="53"/>
        <v/>
      </c>
      <c r="AA677" s="101" t="str">
        <f t="shared" ca="1" si="54"/>
        <v/>
      </c>
    </row>
    <row r="678" spans="2:27" ht="27.6" customHeight="1">
      <c r="B678">
        <f t="shared" ca="1" si="50"/>
        <v>0</v>
      </c>
      <c r="C678" t="s">
        <v>36</v>
      </c>
      <c r="G678" s="75">
        <v>1</v>
      </c>
      <c r="J678" s="66" t="str">
        <f t="shared" ca="1" si="51"/>
        <v>14%</v>
      </c>
      <c r="K678" t="s">
        <v>59</v>
      </c>
      <c r="L678" s="66" t="str">
        <f t="shared" ca="1" si="52"/>
        <v>Sin costo</v>
      </c>
      <c r="M678" t="s">
        <v>64</v>
      </c>
      <c r="N678" t="s">
        <v>66</v>
      </c>
      <c r="O678" t="s">
        <v>66</v>
      </c>
      <c r="P678" t="s">
        <v>66</v>
      </c>
      <c r="R678" t="s">
        <v>66</v>
      </c>
      <c r="U678" t="s">
        <v>90</v>
      </c>
      <c r="V678" t="s">
        <v>66</v>
      </c>
      <c r="W678" t="s">
        <v>66</v>
      </c>
      <c r="X678" t="s">
        <v>66</v>
      </c>
      <c r="Y678" t="s">
        <v>66</v>
      </c>
      <c r="Z678" s="99" t="str">
        <f t="shared" ca="1" si="53"/>
        <v/>
      </c>
      <c r="AA678" s="101" t="str">
        <f t="shared" ca="1" si="54"/>
        <v/>
      </c>
    </row>
    <row r="679" spans="2:27" ht="27.6" customHeight="1">
      <c r="B679">
        <f t="shared" ca="1" si="50"/>
        <v>0</v>
      </c>
      <c r="C679" t="s">
        <v>36</v>
      </c>
      <c r="G679" s="75">
        <v>1</v>
      </c>
      <c r="J679" s="66" t="str">
        <f t="shared" ca="1" si="51"/>
        <v>14%</v>
      </c>
      <c r="K679" t="s">
        <v>59</v>
      </c>
      <c r="L679" s="66" t="str">
        <f t="shared" ca="1" si="52"/>
        <v>Sin costo</v>
      </c>
      <c r="M679" t="s">
        <v>64</v>
      </c>
      <c r="N679" t="s">
        <v>66</v>
      </c>
      <c r="O679" t="s">
        <v>66</v>
      </c>
      <c r="P679" t="s">
        <v>66</v>
      </c>
      <c r="R679" t="s">
        <v>66</v>
      </c>
      <c r="U679" t="s">
        <v>90</v>
      </c>
      <c r="V679" t="s">
        <v>66</v>
      </c>
      <c r="W679" t="s">
        <v>66</v>
      </c>
      <c r="X679" t="s">
        <v>66</v>
      </c>
      <c r="Y679" t="s">
        <v>66</v>
      </c>
      <c r="Z679" s="99" t="str">
        <f t="shared" ca="1" si="53"/>
        <v/>
      </c>
      <c r="AA679" s="101" t="str">
        <f t="shared" ca="1" si="54"/>
        <v/>
      </c>
    </row>
    <row r="680" spans="2:27" ht="27.6" customHeight="1">
      <c r="B680">
        <f t="shared" ca="1" si="50"/>
        <v>0</v>
      </c>
      <c r="C680" t="s">
        <v>36</v>
      </c>
      <c r="G680" s="75">
        <v>1</v>
      </c>
      <c r="J680" s="66" t="str">
        <f t="shared" ca="1" si="51"/>
        <v>14%</v>
      </c>
      <c r="K680" t="s">
        <v>59</v>
      </c>
      <c r="L680" s="66" t="str">
        <f t="shared" ca="1" si="52"/>
        <v>Sin costo</v>
      </c>
      <c r="M680" t="s">
        <v>64</v>
      </c>
      <c r="N680" t="s">
        <v>66</v>
      </c>
      <c r="O680" t="s">
        <v>66</v>
      </c>
      <c r="P680" t="s">
        <v>66</v>
      </c>
      <c r="R680" t="s">
        <v>66</v>
      </c>
      <c r="U680" t="s">
        <v>90</v>
      </c>
      <c r="V680" t="s">
        <v>66</v>
      </c>
      <c r="W680" t="s">
        <v>66</v>
      </c>
      <c r="X680" t="s">
        <v>66</v>
      </c>
      <c r="Y680" t="s">
        <v>66</v>
      </c>
      <c r="Z680" s="99" t="str">
        <f t="shared" ca="1" si="53"/>
        <v/>
      </c>
      <c r="AA680" s="101" t="str">
        <f t="shared" ca="1" si="54"/>
        <v/>
      </c>
    </row>
    <row r="681" spans="2:27" ht="27.6" customHeight="1">
      <c r="B681">
        <f t="shared" ca="1" si="50"/>
        <v>0</v>
      </c>
      <c r="C681" t="s">
        <v>36</v>
      </c>
      <c r="G681" s="75">
        <v>1</v>
      </c>
      <c r="J681" s="66" t="str">
        <f t="shared" ca="1" si="51"/>
        <v>14%</v>
      </c>
      <c r="K681" t="s">
        <v>59</v>
      </c>
      <c r="L681" s="66" t="str">
        <f t="shared" ca="1" si="52"/>
        <v>Sin costo</v>
      </c>
      <c r="M681" t="s">
        <v>64</v>
      </c>
      <c r="N681" t="s">
        <v>66</v>
      </c>
      <c r="O681" t="s">
        <v>66</v>
      </c>
      <c r="P681" t="s">
        <v>66</v>
      </c>
      <c r="R681" t="s">
        <v>66</v>
      </c>
      <c r="U681" t="s">
        <v>90</v>
      </c>
      <c r="V681" t="s">
        <v>66</v>
      </c>
      <c r="W681" t="s">
        <v>66</v>
      </c>
      <c r="X681" t="s">
        <v>66</v>
      </c>
      <c r="Y681" t="s">
        <v>66</v>
      </c>
      <c r="Z681" s="99" t="str">
        <f t="shared" ca="1" si="53"/>
        <v/>
      </c>
      <c r="AA681" s="101" t="str">
        <f t="shared" ca="1" si="54"/>
        <v/>
      </c>
    </row>
    <row r="682" spans="2:27" ht="27.6" customHeight="1">
      <c r="B682">
        <f t="shared" ca="1" si="50"/>
        <v>0</v>
      </c>
      <c r="C682" t="s">
        <v>36</v>
      </c>
      <c r="G682" s="75">
        <v>1</v>
      </c>
      <c r="J682" s="66" t="str">
        <f t="shared" ca="1" si="51"/>
        <v>14%</v>
      </c>
      <c r="K682" t="s">
        <v>59</v>
      </c>
      <c r="L682" s="66" t="str">
        <f t="shared" ca="1" si="52"/>
        <v>Sin costo</v>
      </c>
      <c r="M682" t="s">
        <v>64</v>
      </c>
      <c r="N682" t="s">
        <v>66</v>
      </c>
      <c r="O682" t="s">
        <v>66</v>
      </c>
      <c r="P682" t="s">
        <v>66</v>
      </c>
      <c r="R682" t="s">
        <v>66</v>
      </c>
      <c r="U682" t="s">
        <v>90</v>
      </c>
      <c r="V682" t="s">
        <v>66</v>
      </c>
      <c r="W682" t="s">
        <v>66</v>
      </c>
      <c r="X682" t="s">
        <v>66</v>
      </c>
      <c r="Y682" t="s">
        <v>66</v>
      </c>
      <c r="Z682" s="99" t="str">
        <f t="shared" ca="1" si="53"/>
        <v/>
      </c>
      <c r="AA682" s="101" t="str">
        <f t="shared" ca="1" si="54"/>
        <v/>
      </c>
    </row>
    <row r="683" spans="2:27" ht="27.6" customHeight="1">
      <c r="B683">
        <f t="shared" ca="1" si="50"/>
        <v>0</v>
      </c>
      <c r="C683" t="s">
        <v>36</v>
      </c>
      <c r="G683" s="75">
        <v>1</v>
      </c>
      <c r="J683" s="66" t="str">
        <f t="shared" ca="1" si="51"/>
        <v>14%</v>
      </c>
      <c r="K683" t="s">
        <v>59</v>
      </c>
      <c r="L683" s="66" t="str">
        <f t="shared" ca="1" si="52"/>
        <v>Sin costo</v>
      </c>
      <c r="M683" t="s">
        <v>64</v>
      </c>
      <c r="N683" t="s">
        <v>66</v>
      </c>
      <c r="O683" t="s">
        <v>66</v>
      </c>
      <c r="P683" t="s">
        <v>66</v>
      </c>
      <c r="R683" t="s">
        <v>66</v>
      </c>
      <c r="U683" t="s">
        <v>90</v>
      </c>
      <c r="V683" t="s">
        <v>66</v>
      </c>
      <c r="W683" t="s">
        <v>66</v>
      </c>
      <c r="X683" t="s">
        <v>66</v>
      </c>
      <c r="Y683" t="s">
        <v>66</v>
      </c>
      <c r="Z683" s="99" t="str">
        <f t="shared" ca="1" si="53"/>
        <v/>
      </c>
      <c r="AA683" s="101" t="str">
        <f t="shared" ca="1" si="54"/>
        <v/>
      </c>
    </row>
    <row r="684" spans="2:27" ht="27.6" customHeight="1">
      <c r="B684">
        <f t="shared" ca="1" si="50"/>
        <v>0</v>
      </c>
      <c r="C684" t="s">
        <v>36</v>
      </c>
      <c r="G684" s="75">
        <v>1</v>
      </c>
      <c r="J684" s="66" t="str">
        <f t="shared" ca="1" si="51"/>
        <v>14%</v>
      </c>
      <c r="K684" t="s">
        <v>59</v>
      </c>
      <c r="L684" s="66" t="str">
        <f t="shared" ca="1" si="52"/>
        <v>Sin costo</v>
      </c>
      <c r="M684" t="s">
        <v>64</v>
      </c>
      <c r="N684" t="s">
        <v>66</v>
      </c>
      <c r="O684" t="s">
        <v>66</v>
      </c>
      <c r="P684" t="s">
        <v>66</v>
      </c>
      <c r="R684" t="s">
        <v>66</v>
      </c>
      <c r="U684" t="s">
        <v>90</v>
      </c>
      <c r="V684" t="s">
        <v>66</v>
      </c>
      <c r="W684" t="s">
        <v>66</v>
      </c>
      <c r="X684" t="s">
        <v>66</v>
      </c>
      <c r="Y684" t="s">
        <v>66</v>
      </c>
      <c r="Z684" s="99" t="str">
        <f t="shared" ca="1" si="53"/>
        <v/>
      </c>
      <c r="AA684" s="101" t="str">
        <f t="shared" ca="1" si="54"/>
        <v/>
      </c>
    </row>
    <row r="685" spans="2:27" ht="27.6" customHeight="1">
      <c r="B685">
        <f t="shared" ca="1" si="50"/>
        <v>0</v>
      </c>
      <c r="C685" t="s">
        <v>36</v>
      </c>
      <c r="G685" s="75">
        <v>1</v>
      </c>
      <c r="J685" s="66" t="str">
        <f t="shared" ca="1" si="51"/>
        <v>14%</v>
      </c>
      <c r="K685" t="s">
        <v>59</v>
      </c>
      <c r="L685" s="66" t="str">
        <f t="shared" ca="1" si="52"/>
        <v>Sin costo</v>
      </c>
      <c r="M685" t="s">
        <v>64</v>
      </c>
      <c r="N685" t="s">
        <v>66</v>
      </c>
      <c r="O685" t="s">
        <v>66</v>
      </c>
      <c r="P685" t="s">
        <v>66</v>
      </c>
      <c r="R685" t="s">
        <v>66</v>
      </c>
      <c r="U685" t="s">
        <v>90</v>
      </c>
      <c r="V685" t="s">
        <v>66</v>
      </c>
      <c r="W685" t="s">
        <v>66</v>
      </c>
      <c r="X685" t="s">
        <v>66</v>
      </c>
      <c r="Y685" t="s">
        <v>66</v>
      </c>
      <c r="Z685" s="99" t="str">
        <f t="shared" ca="1" si="53"/>
        <v/>
      </c>
      <c r="AA685" s="101" t="str">
        <f t="shared" ca="1" si="54"/>
        <v/>
      </c>
    </row>
    <row r="686" spans="2:27" ht="27.6" customHeight="1">
      <c r="B686">
        <f t="shared" ca="1" si="50"/>
        <v>0</v>
      </c>
      <c r="C686" t="s">
        <v>36</v>
      </c>
      <c r="G686" s="75">
        <v>1</v>
      </c>
      <c r="J686" s="66" t="str">
        <f t="shared" ca="1" si="51"/>
        <v>14%</v>
      </c>
      <c r="K686" t="s">
        <v>59</v>
      </c>
      <c r="L686" s="66" t="str">
        <f t="shared" ca="1" si="52"/>
        <v>Sin costo</v>
      </c>
      <c r="M686" t="s">
        <v>64</v>
      </c>
      <c r="N686" t="s">
        <v>66</v>
      </c>
      <c r="O686" t="s">
        <v>66</v>
      </c>
      <c r="P686" t="s">
        <v>66</v>
      </c>
      <c r="R686" t="s">
        <v>66</v>
      </c>
      <c r="U686" t="s">
        <v>90</v>
      </c>
      <c r="V686" t="s">
        <v>66</v>
      </c>
      <c r="W686" t="s">
        <v>66</v>
      </c>
      <c r="X686" t="s">
        <v>66</v>
      </c>
      <c r="Y686" t="s">
        <v>66</v>
      </c>
      <c r="Z686" s="99" t="str">
        <f t="shared" ca="1" si="53"/>
        <v/>
      </c>
      <c r="AA686" s="101" t="str">
        <f t="shared" ca="1" si="54"/>
        <v/>
      </c>
    </row>
    <row r="687" spans="2:27" ht="27.6" customHeight="1">
      <c r="B687">
        <f t="shared" ca="1" si="50"/>
        <v>0</v>
      </c>
      <c r="C687" t="s">
        <v>36</v>
      </c>
      <c r="G687" s="75">
        <v>1</v>
      </c>
      <c r="J687" s="66" t="str">
        <f t="shared" ca="1" si="51"/>
        <v>14%</v>
      </c>
      <c r="K687" t="s">
        <v>59</v>
      </c>
      <c r="L687" s="66" t="str">
        <f t="shared" ca="1" si="52"/>
        <v>Sin costo</v>
      </c>
      <c r="M687" t="s">
        <v>64</v>
      </c>
      <c r="N687" t="s">
        <v>66</v>
      </c>
      <c r="O687" t="s">
        <v>66</v>
      </c>
      <c r="P687" t="s">
        <v>66</v>
      </c>
      <c r="R687" t="s">
        <v>66</v>
      </c>
      <c r="U687" t="s">
        <v>90</v>
      </c>
      <c r="V687" t="s">
        <v>66</v>
      </c>
      <c r="W687" t="s">
        <v>66</v>
      </c>
      <c r="X687" t="s">
        <v>66</v>
      </c>
      <c r="Y687" t="s">
        <v>66</v>
      </c>
      <c r="Z687" s="99" t="str">
        <f t="shared" ca="1" si="53"/>
        <v/>
      </c>
      <c r="AA687" s="101" t="str">
        <f t="shared" ca="1" si="54"/>
        <v/>
      </c>
    </row>
    <row r="688" spans="2:27" ht="27.6" customHeight="1">
      <c r="B688">
        <f t="shared" ca="1" si="50"/>
        <v>0</v>
      </c>
      <c r="C688" t="s">
        <v>36</v>
      </c>
      <c r="G688" s="75">
        <v>1</v>
      </c>
      <c r="J688" s="66" t="str">
        <f t="shared" ca="1" si="51"/>
        <v>14%</v>
      </c>
      <c r="K688" t="s">
        <v>59</v>
      </c>
      <c r="L688" s="66" t="str">
        <f t="shared" ca="1" si="52"/>
        <v>Sin costo</v>
      </c>
      <c r="M688" t="s">
        <v>64</v>
      </c>
      <c r="N688" t="s">
        <v>66</v>
      </c>
      <c r="O688" t="s">
        <v>66</v>
      </c>
      <c r="P688" t="s">
        <v>66</v>
      </c>
      <c r="R688" t="s">
        <v>66</v>
      </c>
      <c r="U688" t="s">
        <v>90</v>
      </c>
      <c r="V688" t="s">
        <v>66</v>
      </c>
      <c r="W688" t="s">
        <v>66</v>
      </c>
      <c r="X688" t="s">
        <v>66</v>
      </c>
      <c r="Y688" t="s">
        <v>66</v>
      </c>
      <c r="Z688" s="99" t="str">
        <f t="shared" ca="1" si="53"/>
        <v/>
      </c>
      <c r="AA688" s="101" t="str">
        <f t="shared" ca="1" si="54"/>
        <v/>
      </c>
    </row>
    <row r="689" spans="2:27" ht="27.6" customHeight="1">
      <c r="B689">
        <f t="shared" ca="1" si="50"/>
        <v>0</v>
      </c>
      <c r="C689" t="s">
        <v>36</v>
      </c>
      <c r="G689" s="75">
        <v>1</v>
      </c>
      <c r="J689" s="66" t="str">
        <f t="shared" ca="1" si="51"/>
        <v>14%</v>
      </c>
      <c r="K689" t="s">
        <v>59</v>
      </c>
      <c r="L689" s="66" t="str">
        <f t="shared" ca="1" si="52"/>
        <v>Sin costo</v>
      </c>
      <c r="M689" t="s">
        <v>64</v>
      </c>
      <c r="N689" t="s">
        <v>66</v>
      </c>
      <c r="O689" t="s">
        <v>66</v>
      </c>
      <c r="P689" t="s">
        <v>66</v>
      </c>
      <c r="R689" t="s">
        <v>66</v>
      </c>
      <c r="U689" t="s">
        <v>90</v>
      </c>
      <c r="V689" t="s">
        <v>66</v>
      </c>
      <c r="W689" t="s">
        <v>66</v>
      </c>
      <c r="X689" t="s">
        <v>66</v>
      </c>
      <c r="Y689" t="s">
        <v>66</v>
      </c>
      <c r="Z689" s="99" t="str">
        <f t="shared" ca="1" si="53"/>
        <v/>
      </c>
      <c r="AA689" s="101" t="str">
        <f t="shared" ca="1" si="54"/>
        <v/>
      </c>
    </row>
    <row r="690" spans="2:27" ht="27.6" customHeight="1">
      <c r="B690">
        <f t="shared" ca="1" si="50"/>
        <v>0</v>
      </c>
      <c r="C690" t="s">
        <v>36</v>
      </c>
      <c r="G690" s="75">
        <v>1</v>
      </c>
      <c r="J690" s="66" t="str">
        <f t="shared" ca="1" si="51"/>
        <v>14%</v>
      </c>
      <c r="K690" t="s">
        <v>59</v>
      </c>
      <c r="L690" s="66" t="str">
        <f t="shared" ca="1" si="52"/>
        <v>Sin costo</v>
      </c>
      <c r="M690" t="s">
        <v>64</v>
      </c>
      <c r="N690" t="s">
        <v>66</v>
      </c>
      <c r="O690" t="s">
        <v>66</v>
      </c>
      <c r="P690" t="s">
        <v>66</v>
      </c>
      <c r="R690" t="s">
        <v>66</v>
      </c>
      <c r="U690" t="s">
        <v>90</v>
      </c>
      <c r="V690" t="s">
        <v>66</v>
      </c>
      <c r="W690" t="s">
        <v>66</v>
      </c>
      <c r="X690" t="s">
        <v>66</v>
      </c>
      <c r="Y690" t="s">
        <v>66</v>
      </c>
      <c r="Z690" s="99" t="str">
        <f t="shared" ca="1" si="53"/>
        <v/>
      </c>
      <c r="AA690" s="101" t="str">
        <f t="shared" ca="1" si="54"/>
        <v/>
      </c>
    </row>
    <row r="691" spans="2:27" ht="27.6" customHeight="1">
      <c r="B691">
        <f t="shared" ca="1" si="50"/>
        <v>0</v>
      </c>
      <c r="C691" t="s">
        <v>36</v>
      </c>
      <c r="G691" s="75">
        <v>1</v>
      </c>
      <c r="J691" s="66" t="str">
        <f t="shared" ca="1" si="51"/>
        <v>14%</v>
      </c>
      <c r="K691" t="s">
        <v>59</v>
      </c>
      <c r="L691" s="66" t="str">
        <f t="shared" ca="1" si="52"/>
        <v>Sin costo</v>
      </c>
      <c r="M691" t="s">
        <v>64</v>
      </c>
      <c r="N691" t="s">
        <v>66</v>
      </c>
      <c r="O691" t="s">
        <v>66</v>
      </c>
      <c r="P691" t="s">
        <v>66</v>
      </c>
      <c r="R691" t="s">
        <v>66</v>
      </c>
      <c r="U691" t="s">
        <v>90</v>
      </c>
      <c r="V691" t="s">
        <v>66</v>
      </c>
      <c r="W691" t="s">
        <v>66</v>
      </c>
      <c r="X691" t="s">
        <v>66</v>
      </c>
      <c r="Y691" t="s">
        <v>66</v>
      </c>
      <c r="Z691" s="99" t="str">
        <f t="shared" ca="1" si="53"/>
        <v/>
      </c>
      <c r="AA691" s="101" t="str">
        <f t="shared" ca="1" si="54"/>
        <v/>
      </c>
    </row>
    <row r="692" spans="2:27" ht="27.6" customHeight="1">
      <c r="B692">
        <f t="shared" ca="1" si="50"/>
        <v>0</v>
      </c>
      <c r="C692" t="s">
        <v>36</v>
      </c>
      <c r="G692" s="75">
        <v>1</v>
      </c>
      <c r="J692" s="66" t="str">
        <f t="shared" ca="1" si="51"/>
        <v>14%</v>
      </c>
      <c r="K692" t="s">
        <v>59</v>
      </c>
      <c r="L692" s="66" t="str">
        <f t="shared" ca="1" si="52"/>
        <v>Sin costo</v>
      </c>
      <c r="M692" t="s">
        <v>64</v>
      </c>
      <c r="N692" t="s">
        <v>66</v>
      </c>
      <c r="O692" t="s">
        <v>66</v>
      </c>
      <c r="P692" t="s">
        <v>66</v>
      </c>
      <c r="R692" t="s">
        <v>66</v>
      </c>
      <c r="U692" t="s">
        <v>90</v>
      </c>
      <c r="V692" t="s">
        <v>66</v>
      </c>
      <c r="W692" t="s">
        <v>66</v>
      </c>
      <c r="X692" t="s">
        <v>66</v>
      </c>
      <c r="Y692" t="s">
        <v>66</v>
      </c>
      <c r="Z692" s="99" t="str">
        <f t="shared" ca="1" si="53"/>
        <v/>
      </c>
      <c r="AA692" s="101" t="str">
        <f t="shared" ca="1" si="54"/>
        <v/>
      </c>
    </row>
    <row r="693" spans="2:27" ht="27.6" customHeight="1">
      <c r="B693">
        <f t="shared" ca="1" si="50"/>
        <v>0</v>
      </c>
      <c r="C693" t="s">
        <v>36</v>
      </c>
      <c r="G693" s="75">
        <v>1</v>
      </c>
      <c r="J693" s="66" t="str">
        <f t="shared" ca="1" si="51"/>
        <v>14%</v>
      </c>
      <c r="K693" t="s">
        <v>59</v>
      </c>
      <c r="L693" s="66" t="str">
        <f t="shared" ca="1" si="52"/>
        <v>Sin costo</v>
      </c>
      <c r="M693" t="s">
        <v>64</v>
      </c>
      <c r="N693" t="s">
        <v>66</v>
      </c>
      <c r="O693" t="s">
        <v>66</v>
      </c>
      <c r="P693" t="s">
        <v>66</v>
      </c>
      <c r="R693" t="s">
        <v>66</v>
      </c>
      <c r="U693" t="s">
        <v>90</v>
      </c>
      <c r="V693" t="s">
        <v>66</v>
      </c>
      <c r="W693" t="s">
        <v>66</v>
      </c>
      <c r="X693" t="s">
        <v>66</v>
      </c>
      <c r="Y693" t="s">
        <v>66</v>
      </c>
      <c r="Z693" s="99" t="str">
        <f t="shared" ca="1" si="53"/>
        <v/>
      </c>
      <c r="AA693" s="101" t="str">
        <f t="shared" ca="1" si="54"/>
        <v/>
      </c>
    </row>
    <row r="694" spans="2:27" ht="27.6" customHeight="1">
      <c r="B694">
        <f t="shared" ca="1" si="50"/>
        <v>0</v>
      </c>
      <c r="C694" t="s">
        <v>36</v>
      </c>
      <c r="G694" s="75">
        <v>1</v>
      </c>
      <c r="J694" s="66" t="str">
        <f t="shared" ca="1" si="51"/>
        <v>14%</v>
      </c>
      <c r="K694" t="s">
        <v>59</v>
      </c>
      <c r="L694" s="66" t="str">
        <f t="shared" ca="1" si="52"/>
        <v>Sin costo</v>
      </c>
      <c r="M694" t="s">
        <v>64</v>
      </c>
      <c r="N694" t="s">
        <v>66</v>
      </c>
      <c r="O694" t="s">
        <v>66</v>
      </c>
      <c r="P694" t="s">
        <v>66</v>
      </c>
      <c r="R694" t="s">
        <v>66</v>
      </c>
      <c r="U694" t="s">
        <v>90</v>
      </c>
      <c r="V694" t="s">
        <v>66</v>
      </c>
      <c r="W694" t="s">
        <v>66</v>
      </c>
      <c r="X694" t="s">
        <v>66</v>
      </c>
      <c r="Y694" t="s">
        <v>66</v>
      </c>
      <c r="Z694" s="99" t="str">
        <f t="shared" ca="1" si="53"/>
        <v/>
      </c>
      <c r="AA694" s="101" t="str">
        <f t="shared" ca="1" si="54"/>
        <v/>
      </c>
    </row>
    <row r="695" spans="2:27" ht="27.6" customHeight="1">
      <c r="B695">
        <f t="shared" ca="1" si="50"/>
        <v>0</v>
      </c>
      <c r="C695" t="s">
        <v>36</v>
      </c>
      <c r="G695" s="75">
        <v>1</v>
      </c>
      <c r="J695" s="66" t="str">
        <f t="shared" ca="1" si="51"/>
        <v>14%</v>
      </c>
      <c r="K695" t="s">
        <v>59</v>
      </c>
      <c r="L695" s="66" t="str">
        <f t="shared" ca="1" si="52"/>
        <v>Sin costo</v>
      </c>
      <c r="M695" t="s">
        <v>64</v>
      </c>
      <c r="N695" t="s">
        <v>66</v>
      </c>
      <c r="O695" t="s">
        <v>66</v>
      </c>
      <c r="P695" t="s">
        <v>66</v>
      </c>
      <c r="R695" t="s">
        <v>66</v>
      </c>
      <c r="U695" t="s">
        <v>90</v>
      </c>
      <c r="V695" t="s">
        <v>66</v>
      </c>
      <c r="W695" t="s">
        <v>66</v>
      </c>
      <c r="X695" t="s">
        <v>66</v>
      </c>
      <c r="Y695" t="s">
        <v>66</v>
      </c>
      <c r="Z695" s="99" t="str">
        <f t="shared" ca="1" si="53"/>
        <v/>
      </c>
      <c r="AA695" s="101" t="str">
        <f t="shared" ca="1" si="54"/>
        <v/>
      </c>
    </row>
    <row r="696" spans="2:27" ht="27.6" customHeight="1">
      <c r="B696">
        <f t="shared" ca="1" si="50"/>
        <v>0</v>
      </c>
      <c r="C696" t="s">
        <v>36</v>
      </c>
      <c r="G696" s="75">
        <v>1</v>
      </c>
      <c r="J696" s="66" t="str">
        <f t="shared" ca="1" si="51"/>
        <v>14%</v>
      </c>
      <c r="K696" t="s">
        <v>59</v>
      </c>
      <c r="L696" s="66" t="str">
        <f t="shared" ca="1" si="52"/>
        <v>Sin costo</v>
      </c>
      <c r="M696" t="s">
        <v>64</v>
      </c>
      <c r="N696" t="s">
        <v>66</v>
      </c>
      <c r="O696" t="s">
        <v>66</v>
      </c>
      <c r="P696" t="s">
        <v>66</v>
      </c>
      <c r="R696" t="s">
        <v>66</v>
      </c>
      <c r="U696" t="s">
        <v>90</v>
      </c>
      <c r="V696" t="s">
        <v>66</v>
      </c>
      <c r="W696" t="s">
        <v>66</v>
      </c>
      <c r="X696" t="s">
        <v>66</v>
      </c>
      <c r="Y696" t="s">
        <v>66</v>
      </c>
      <c r="Z696" s="99" t="str">
        <f t="shared" ca="1" si="53"/>
        <v/>
      </c>
      <c r="AA696" s="101" t="str">
        <f t="shared" ca="1" si="54"/>
        <v/>
      </c>
    </row>
    <row r="697" spans="2:27" ht="27.6" customHeight="1">
      <c r="B697">
        <f t="shared" ca="1" si="50"/>
        <v>0</v>
      </c>
      <c r="C697" t="s">
        <v>36</v>
      </c>
      <c r="G697" s="75">
        <v>1</v>
      </c>
      <c r="J697" s="66" t="str">
        <f t="shared" ca="1" si="51"/>
        <v>14%</v>
      </c>
      <c r="K697" t="s">
        <v>59</v>
      </c>
      <c r="L697" s="66" t="str">
        <f t="shared" ca="1" si="52"/>
        <v>Sin costo</v>
      </c>
      <c r="M697" t="s">
        <v>64</v>
      </c>
      <c r="N697" t="s">
        <v>66</v>
      </c>
      <c r="O697" t="s">
        <v>66</v>
      </c>
      <c r="P697" t="s">
        <v>66</v>
      </c>
      <c r="R697" t="s">
        <v>66</v>
      </c>
      <c r="U697" t="s">
        <v>90</v>
      </c>
      <c r="V697" t="s">
        <v>66</v>
      </c>
      <c r="W697" t="s">
        <v>66</v>
      </c>
      <c r="X697" t="s">
        <v>66</v>
      </c>
      <c r="Y697" t="s">
        <v>66</v>
      </c>
      <c r="Z697" s="99" t="str">
        <f t="shared" ca="1" si="53"/>
        <v/>
      </c>
      <c r="AA697" s="101" t="str">
        <f t="shared" ca="1" si="54"/>
        <v/>
      </c>
    </row>
    <row r="698" spans="2:27" ht="27.6" customHeight="1">
      <c r="B698">
        <f t="shared" ca="1" si="50"/>
        <v>0</v>
      </c>
      <c r="C698" t="s">
        <v>36</v>
      </c>
      <c r="G698" s="75">
        <v>1</v>
      </c>
      <c r="J698" s="66" t="str">
        <f t="shared" ca="1" si="51"/>
        <v>14%</v>
      </c>
      <c r="K698" t="s">
        <v>59</v>
      </c>
      <c r="L698" s="66" t="str">
        <f t="shared" ca="1" si="52"/>
        <v>Sin costo</v>
      </c>
      <c r="M698" t="s">
        <v>64</v>
      </c>
      <c r="N698" t="s">
        <v>66</v>
      </c>
      <c r="O698" t="s">
        <v>66</v>
      </c>
      <c r="P698" t="s">
        <v>66</v>
      </c>
      <c r="R698" t="s">
        <v>66</v>
      </c>
      <c r="U698" t="s">
        <v>90</v>
      </c>
      <c r="V698" t="s">
        <v>66</v>
      </c>
      <c r="W698" t="s">
        <v>66</v>
      </c>
      <c r="X698" t="s">
        <v>66</v>
      </c>
      <c r="Y698" t="s">
        <v>66</v>
      </c>
      <c r="Z698" s="99" t="str">
        <f t="shared" ca="1" si="53"/>
        <v/>
      </c>
      <c r="AA698" s="101" t="str">
        <f t="shared" ca="1" si="54"/>
        <v/>
      </c>
    </row>
    <row r="699" spans="2:27" ht="27.6" customHeight="1">
      <c r="B699">
        <f t="shared" ca="1" si="50"/>
        <v>0</v>
      </c>
      <c r="C699" t="s">
        <v>36</v>
      </c>
      <c r="G699" s="75">
        <v>1</v>
      </c>
      <c r="J699" s="66" t="str">
        <f t="shared" ca="1" si="51"/>
        <v>14%</v>
      </c>
      <c r="K699" t="s">
        <v>59</v>
      </c>
      <c r="L699" s="66" t="str">
        <f t="shared" ca="1" si="52"/>
        <v>Sin costo</v>
      </c>
      <c r="M699" t="s">
        <v>64</v>
      </c>
      <c r="N699" t="s">
        <v>66</v>
      </c>
      <c r="O699" t="s">
        <v>66</v>
      </c>
      <c r="P699" t="s">
        <v>66</v>
      </c>
      <c r="R699" t="s">
        <v>66</v>
      </c>
      <c r="U699" t="s">
        <v>90</v>
      </c>
      <c r="V699" t="s">
        <v>66</v>
      </c>
      <c r="W699" t="s">
        <v>66</v>
      </c>
      <c r="X699" t="s">
        <v>66</v>
      </c>
      <c r="Y699" t="s">
        <v>66</v>
      </c>
      <c r="Z699" s="99" t="str">
        <f t="shared" ca="1" si="53"/>
        <v/>
      </c>
      <c r="AA699" s="101" t="str">
        <f t="shared" ca="1" si="54"/>
        <v/>
      </c>
    </row>
    <row r="700" spans="2:27" ht="27.6" customHeight="1">
      <c r="B700">
        <f t="shared" ca="1" si="50"/>
        <v>0</v>
      </c>
      <c r="C700" t="s">
        <v>36</v>
      </c>
      <c r="G700" s="75">
        <v>1</v>
      </c>
      <c r="J700" s="66" t="str">
        <f t="shared" ca="1" si="51"/>
        <v>14%</v>
      </c>
      <c r="K700" t="s">
        <v>59</v>
      </c>
      <c r="L700" s="66" t="str">
        <f t="shared" ca="1" si="52"/>
        <v>Sin costo</v>
      </c>
      <c r="M700" t="s">
        <v>64</v>
      </c>
      <c r="N700" t="s">
        <v>66</v>
      </c>
      <c r="O700" t="s">
        <v>66</v>
      </c>
      <c r="P700" t="s">
        <v>66</v>
      </c>
      <c r="R700" t="s">
        <v>66</v>
      </c>
      <c r="U700" t="s">
        <v>90</v>
      </c>
      <c r="V700" t="s">
        <v>66</v>
      </c>
      <c r="W700" t="s">
        <v>66</v>
      </c>
      <c r="X700" t="s">
        <v>66</v>
      </c>
      <c r="Y700" t="s">
        <v>66</v>
      </c>
      <c r="Z700" s="99" t="str">
        <f t="shared" ca="1" si="53"/>
        <v/>
      </c>
      <c r="AA700" s="101" t="str">
        <f t="shared" ca="1" si="54"/>
        <v/>
      </c>
    </row>
    <row r="701" spans="2:27" ht="27.6" customHeight="1">
      <c r="B701">
        <f t="shared" ca="1" si="50"/>
        <v>0</v>
      </c>
      <c r="C701" t="s">
        <v>36</v>
      </c>
      <c r="G701" s="75">
        <v>1</v>
      </c>
      <c r="J701" s="66" t="str">
        <f t="shared" ca="1" si="51"/>
        <v>14%</v>
      </c>
      <c r="K701" t="s">
        <v>59</v>
      </c>
      <c r="L701" s="66" t="str">
        <f t="shared" ca="1" si="52"/>
        <v>Sin costo</v>
      </c>
      <c r="M701" t="s">
        <v>64</v>
      </c>
      <c r="N701" t="s">
        <v>66</v>
      </c>
      <c r="O701" t="s">
        <v>66</v>
      </c>
      <c r="P701" t="s">
        <v>66</v>
      </c>
      <c r="R701" t="s">
        <v>66</v>
      </c>
      <c r="U701" t="s">
        <v>90</v>
      </c>
      <c r="V701" t="s">
        <v>66</v>
      </c>
      <c r="W701" t="s">
        <v>66</v>
      </c>
      <c r="X701" t="s">
        <v>66</v>
      </c>
      <c r="Y701" t="s">
        <v>66</v>
      </c>
      <c r="Z701" s="99" t="str">
        <f t="shared" ca="1" si="53"/>
        <v/>
      </c>
      <c r="AA701" s="101" t="str">
        <f t="shared" ca="1" si="54"/>
        <v/>
      </c>
    </row>
    <row r="702" spans="2:27" ht="27.6" customHeight="1">
      <c r="B702">
        <f t="shared" ca="1" si="50"/>
        <v>0</v>
      </c>
      <c r="C702" t="s">
        <v>36</v>
      </c>
      <c r="G702" s="75">
        <v>1</v>
      </c>
      <c r="J702" s="66" t="str">
        <f t="shared" ca="1" si="51"/>
        <v>14%</v>
      </c>
      <c r="K702" t="s">
        <v>59</v>
      </c>
      <c r="L702" s="66" t="str">
        <f t="shared" ca="1" si="52"/>
        <v>Sin costo</v>
      </c>
      <c r="M702" t="s">
        <v>64</v>
      </c>
      <c r="N702" t="s">
        <v>66</v>
      </c>
      <c r="O702" t="s">
        <v>66</v>
      </c>
      <c r="P702" t="s">
        <v>66</v>
      </c>
      <c r="R702" t="s">
        <v>66</v>
      </c>
      <c r="U702" t="s">
        <v>90</v>
      </c>
      <c r="V702" t="s">
        <v>66</v>
      </c>
      <c r="W702" t="s">
        <v>66</v>
      </c>
      <c r="X702" t="s">
        <v>66</v>
      </c>
      <c r="Y702" t="s">
        <v>66</v>
      </c>
      <c r="Z702" s="99" t="str">
        <f t="shared" ca="1" si="53"/>
        <v/>
      </c>
      <c r="AA702" s="101" t="str">
        <f t="shared" ca="1" si="54"/>
        <v/>
      </c>
    </row>
    <row r="703" spans="2:27" ht="27.6" customHeight="1">
      <c r="B703">
        <f t="shared" ca="1" si="50"/>
        <v>0</v>
      </c>
      <c r="C703" t="s">
        <v>36</v>
      </c>
      <c r="G703" s="75">
        <v>1</v>
      </c>
      <c r="J703" s="66" t="str">
        <f t="shared" ca="1" si="51"/>
        <v>14%</v>
      </c>
      <c r="K703" t="s">
        <v>59</v>
      </c>
      <c r="L703" s="66" t="str">
        <f t="shared" ca="1" si="52"/>
        <v>Sin costo</v>
      </c>
      <c r="M703" t="s">
        <v>64</v>
      </c>
      <c r="N703" t="s">
        <v>66</v>
      </c>
      <c r="O703" t="s">
        <v>66</v>
      </c>
      <c r="P703" t="s">
        <v>66</v>
      </c>
      <c r="R703" t="s">
        <v>66</v>
      </c>
      <c r="U703" t="s">
        <v>90</v>
      </c>
      <c r="V703" t="s">
        <v>66</v>
      </c>
      <c r="W703" t="s">
        <v>66</v>
      </c>
      <c r="X703" t="s">
        <v>66</v>
      </c>
      <c r="Y703" t="s">
        <v>66</v>
      </c>
      <c r="Z703" s="99" t="str">
        <f t="shared" ca="1" si="53"/>
        <v/>
      </c>
      <c r="AA703" s="101" t="str">
        <f t="shared" ca="1" si="54"/>
        <v/>
      </c>
    </row>
    <row r="704" spans="2:27" ht="27.6" customHeight="1">
      <c r="B704">
        <f t="shared" ca="1" si="50"/>
        <v>0</v>
      </c>
      <c r="C704" t="s">
        <v>36</v>
      </c>
      <c r="G704" s="75">
        <v>1</v>
      </c>
      <c r="J704" s="66" t="str">
        <f t="shared" ca="1" si="51"/>
        <v>14%</v>
      </c>
      <c r="K704" t="s">
        <v>59</v>
      </c>
      <c r="L704" s="66" t="str">
        <f t="shared" ca="1" si="52"/>
        <v>Sin costo</v>
      </c>
      <c r="M704" t="s">
        <v>64</v>
      </c>
      <c r="N704" t="s">
        <v>66</v>
      </c>
      <c r="O704" t="s">
        <v>66</v>
      </c>
      <c r="P704" t="s">
        <v>66</v>
      </c>
      <c r="R704" t="s">
        <v>66</v>
      </c>
      <c r="U704" t="s">
        <v>90</v>
      </c>
      <c r="V704" t="s">
        <v>66</v>
      </c>
      <c r="W704" t="s">
        <v>66</v>
      </c>
      <c r="X704" t="s">
        <v>66</v>
      </c>
      <c r="Y704" t="s">
        <v>66</v>
      </c>
      <c r="Z704" s="99" t="str">
        <f t="shared" ca="1" si="53"/>
        <v/>
      </c>
      <c r="AA704" s="101" t="str">
        <f t="shared" ca="1" si="54"/>
        <v/>
      </c>
    </row>
    <row r="705" spans="2:27" ht="27.6" customHeight="1">
      <c r="B705">
        <f t="shared" ca="1" si="50"/>
        <v>0</v>
      </c>
      <c r="C705" t="s">
        <v>36</v>
      </c>
      <c r="G705" s="75">
        <v>1</v>
      </c>
      <c r="J705" s="66" t="str">
        <f t="shared" ca="1" si="51"/>
        <v>14%</v>
      </c>
      <c r="K705" t="s">
        <v>59</v>
      </c>
      <c r="L705" s="66" t="str">
        <f t="shared" ca="1" si="52"/>
        <v>Sin costo</v>
      </c>
      <c r="M705" t="s">
        <v>64</v>
      </c>
      <c r="N705" t="s">
        <v>66</v>
      </c>
      <c r="O705" t="s">
        <v>66</v>
      </c>
      <c r="P705" t="s">
        <v>66</v>
      </c>
      <c r="R705" t="s">
        <v>66</v>
      </c>
      <c r="U705" t="s">
        <v>90</v>
      </c>
      <c r="V705" t="s">
        <v>66</v>
      </c>
      <c r="W705" t="s">
        <v>66</v>
      </c>
      <c r="X705" t="s">
        <v>66</v>
      </c>
      <c r="Y705" t="s">
        <v>66</v>
      </c>
      <c r="Z705" s="99" t="str">
        <f t="shared" ca="1" si="53"/>
        <v/>
      </c>
      <c r="AA705" s="101" t="str">
        <f t="shared" ca="1" si="54"/>
        <v/>
      </c>
    </row>
    <row r="706" spans="2:27" ht="27.6" customHeight="1">
      <c r="B706">
        <f t="shared" ca="1" si="50"/>
        <v>0</v>
      </c>
      <c r="C706" t="s">
        <v>36</v>
      </c>
      <c r="G706" s="75">
        <v>1</v>
      </c>
      <c r="J706" s="66" t="str">
        <f t="shared" ca="1" si="51"/>
        <v>14%</v>
      </c>
      <c r="K706" t="s">
        <v>59</v>
      </c>
      <c r="L706" s="66" t="str">
        <f t="shared" ca="1" si="52"/>
        <v>Sin costo</v>
      </c>
      <c r="M706" t="s">
        <v>64</v>
      </c>
      <c r="N706" t="s">
        <v>66</v>
      </c>
      <c r="O706" t="s">
        <v>66</v>
      </c>
      <c r="P706" t="s">
        <v>66</v>
      </c>
      <c r="R706" t="s">
        <v>66</v>
      </c>
      <c r="U706" t="s">
        <v>90</v>
      </c>
      <c r="V706" t="s">
        <v>66</v>
      </c>
      <c r="W706" t="s">
        <v>66</v>
      </c>
      <c r="X706" t="s">
        <v>66</v>
      </c>
      <c r="Y706" t="s">
        <v>66</v>
      </c>
      <c r="Z706" s="99" t="str">
        <f t="shared" ca="1" si="53"/>
        <v/>
      </c>
      <c r="AA706" s="101" t="str">
        <f t="shared" ca="1" si="54"/>
        <v/>
      </c>
    </row>
    <row r="707" spans="2:27" ht="27.6" customHeight="1">
      <c r="B707">
        <f t="shared" ca="1" si="50"/>
        <v>0</v>
      </c>
      <c r="C707" t="s">
        <v>36</v>
      </c>
      <c r="G707" s="75">
        <v>1</v>
      </c>
      <c r="J707" s="66" t="str">
        <f t="shared" ca="1" si="51"/>
        <v>14%</v>
      </c>
      <c r="K707" t="s">
        <v>59</v>
      </c>
      <c r="L707" s="66" t="str">
        <f t="shared" ca="1" si="52"/>
        <v>Sin costo</v>
      </c>
      <c r="M707" t="s">
        <v>64</v>
      </c>
      <c r="N707" t="s">
        <v>66</v>
      </c>
      <c r="O707" t="s">
        <v>66</v>
      </c>
      <c r="P707" t="s">
        <v>66</v>
      </c>
      <c r="R707" t="s">
        <v>66</v>
      </c>
      <c r="U707" t="s">
        <v>90</v>
      </c>
      <c r="V707" t="s">
        <v>66</v>
      </c>
      <c r="W707" t="s">
        <v>66</v>
      </c>
      <c r="X707" t="s">
        <v>66</v>
      </c>
      <c r="Y707" t="s">
        <v>66</v>
      </c>
      <c r="Z707" s="99" t="str">
        <f t="shared" ca="1" si="53"/>
        <v/>
      </c>
      <c r="AA707" s="101" t="str">
        <f t="shared" ca="1" si="54"/>
        <v/>
      </c>
    </row>
    <row r="708" spans="2:27" ht="27.6" customHeight="1">
      <c r="B708">
        <f t="shared" ca="1" si="50"/>
        <v>0</v>
      </c>
      <c r="C708" t="s">
        <v>36</v>
      </c>
      <c r="G708" s="75">
        <v>1</v>
      </c>
      <c r="J708" s="66" t="str">
        <f t="shared" ca="1" si="51"/>
        <v>14%</v>
      </c>
      <c r="K708" t="s">
        <v>59</v>
      </c>
      <c r="L708" s="66" t="str">
        <f t="shared" ca="1" si="52"/>
        <v>Sin costo</v>
      </c>
      <c r="M708" t="s">
        <v>64</v>
      </c>
      <c r="N708" t="s">
        <v>66</v>
      </c>
      <c r="O708" t="s">
        <v>66</v>
      </c>
      <c r="P708" t="s">
        <v>66</v>
      </c>
      <c r="R708" t="s">
        <v>66</v>
      </c>
      <c r="U708" t="s">
        <v>90</v>
      </c>
      <c r="V708" t="s">
        <v>66</v>
      </c>
      <c r="W708" t="s">
        <v>66</v>
      </c>
      <c r="X708" t="s">
        <v>66</v>
      </c>
      <c r="Y708" t="s">
        <v>66</v>
      </c>
      <c r="Z708" s="99" t="str">
        <f t="shared" ca="1" si="53"/>
        <v/>
      </c>
      <c r="AA708" s="101" t="str">
        <f t="shared" ca="1" si="54"/>
        <v/>
      </c>
    </row>
    <row r="709" spans="2:27" ht="27.6" customHeight="1">
      <c r="B709">
        <f t="shared" ca="1" si="50"/>
        <v>0</v>
      </c>
      <c r="C709" t="s">
        <v>36</v>
      </c>
      <c r="G709" s="75">
        <v>1</v>
      </c>
      <c r="J709" s="66" t="str">
        <f t="shared" ca="1" si="51"/>
        <v>14%</v>
      </c>
      <c r="K709" t="s">
        <v>59</v>
      </c>
      <c r="L709" s="66" t="str">
        <f t="shared" ca="1" si="52"/>
        <v>Sin costo</v>
      </c>
      <c r="M709" t="s">
        <v>64</v>
      </c>
      <c r="N709" t="s">
        <v>66</v>
      </c>
      <c r="O709" t="s">
        <v>66</v>
      </c>
      <c r="P709" t="s">
        <v>66</v>
      </c>
      <c r="R709" t="s">
        <v>66</v>
      </c>
      <c r="U709" t="s">
        <v>90</v>
      </c>
      <c r="V709" t="s">
        <v>66</v>
      </c>
      <c r="W709" t="s">
        <v>66</v>
      </c>
      <c r="X709" t="s">
        <v>66</v>
      </c>
      <c r="Y709" t="s">
        <v>66</v>
      </c>
      <c r="Z709" s="99" t="str">
        <f t="shared" ca="1" si="53"/>
        <v/>
      </c>
      <c r="AA709" s="101" t="str">
        <f t="shared" ca="1" si="54"/>
        <v/>
      </c>
    </row>
    <row r="710" spans="2:27" ht="27.6" customHeight="1">
      <c r="B710">
        <f t="shared" ca="1" si="50"/>
        <v>0</v>
      </c>
      <c r="C710" t="s">
        <v>36</v>
      </c>
      <c r="G710" s="75">
        <v>1</v>
      </c>
      <c r="J710" s="66" t="str">
        <f t="shared" ca="1" si="51"/>
        <v>14%</v>
      </c>
      <c r="K710" t="s">
        <v>59</v>
      </c>
      <c r="L710" s="66" t="str">
        <f t="shared" ca="1" si="52"/>
        <v>Sin costo</v>
      </c>
      <c r="M710" t="s">
        <v>64</v>
      </c>
      <c r="N710" t="s">
        <v>66</v>
      </c>
      <c r="O710" t="s">
        <v>66</v>
      </c>
      <c r="P710" t="s">
        <v>66</v>
      </c>
      <c r="R710" t="s">
        <v>66</v>
      </c>
      <c r="U710" t="s">
        <v>90</v>
      </c>
      <c r="V710" t="s">
        <v>66</v>
      </c>
      <c r="W710" t="s">
        <v>66</v>
      </c>
      <c r="X710" t="s">
        <v>66</v>
      </c>
      <c r="Y710" t="s">
        <v>66</v>
      </c>
      <c r="Z710" s="99" t="str">
        <f t="shared" ca="1" si="53"/>
        <v/>
      </c>
      <c r="AA710" s="101" t="str">
        <f t="shared" ca="1" si="54"/>
        <v/>
      </c>
    </row>
    <row r="711" spans="2:27" ht="27.6" customHeight="1">
      <c r="B711">
        <f t="shared" ref="B711:B774" ca="1" si="55">LEN(INDIRECT(ADDRESS(ROW() + (0),COLUMN() + (-1))))</f>
        <v>0</v>
      </c>
      <c r="C711" t="s">
        <v>36</v>
      </c>
      <c r="G711" s="75">
        <v>1</v>
      </c>
      <c r="J711" s="66" t="str">
        <f t="shared" ref="J711:J774" ca="1" si="56">IF(INDIRECT(ADDRESS(ROW() + (0),COLUMN() + (1)))="Agregar cuotas", IF(("14%")="", "-", "14%"), IF(INDIRECT(ADDRESS(ROW() + (0),COLUMN() + (1)))="No agregar cuotas", IF(("14%")="", "-", "14%"), "-"))</f>
        <v>14%</v>
      </c>
      <c r="K711" t="s">
        <v>59</v>
      </c>
      <c r="L711" s="66" t="str">
        <f t="shared" ref="L711:L774" ca="1" si="57">IF(INDIRECT(ADDRESS(ROW() + (0),COLUMN() + (-1)))="Agregar cuotas", IF(("13.9%")="", "Sin costo", "13.9%"), IF(INDIRECT(ADDRESS(ROW() + (0),COLUMN() + (-1)))="No agregar cuotas", IF(("")="", "Sin costo", ""), "-"))</f>
        <v>Sin costo</v>
      </c>
      <c r="M711" t="s">
        <v>64</v>
      </c>
      <c r="N711" t="s">
        <v>66</v>
      </c>
      <c r="O711" t="s">
        <v>66</v>
      </c>
      <c r="P711" t="s">
        <v>66</v>
      </c>
      <c r="R711" t="s">
        <v>66</v>
      </c>
      <c r="U711" t="s">
        <v>90</v>
      </c>
      <c r="V711" t="s">
        <v>66</v>
      </c>
      <c r="W711" t="s">
        <v>66</v>
      </c>
      <c r="X711" t="s">
        <v>66</v>
      </c>
      <c r="Y711" t="s">
        <v>66</v>
      </c>
      <c r="Z711" s="99" t="str">
        <f t="shared" ref="Z711:Z774" ca="1" si="5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711" s="101" t="str">
        <f t="shared" ref="AA711:AA774" ca="1" si="59">IF(TRIM(INDIRECT("A"&amp;ROW())) &lt;&gt; "",FALSE,"")</f>
        <v/>
      </c>
    </row>
    <row r="712" spans="2:27" ht="27.6" customHeight="1">
      <c r="B712">
        <f t="shared" ca="1" si="55"/>
        <v>0</v>
      </c>
      <c r="C712" t="s">
        <v>36</v>
      </c>
      <c r="G712" s="75">
        <v>1</v>
      </c>
      <c r="J712" s="66" t="str">
        <f t="shared" ca="1" si="56"/>
        <v>14%</v>
      </c>
      <c r="K712" t="s">
        <v>59</v>
      </c>
      <c r="L712" s="66" t="str">
        <f t="shared" ca="1" si="57"/>
        <v>Sin costo</v>
      </c>
      <c r="M712" t="s">
        <v>64</v>
      </c>
      <c r="N712" t="s">
        <v>66</v>
      </c>
      <c r="O712" t="s">
        <v>66</v>
      </c>
      <c r="P712" t="s">
        <v>66</v>
      </c>
      <c r="R712" t="s">
        <v>66</v>
      </c>
      <c r="U712" t="s">
        <v>90</v>
      </c>
      <c r="V712" t="s">
        <v>66</v>
      </c>
      <c r="W712" t="s">
        <v>66</v>
      </c>
      <c r="X712" t="s">
        <v>66</v>
      </c>
      <c r="Y712" t="s">
        <v>66</v>
      </c>
      <c r="Z712" s="99" t="str">
        <f t="shared" ca="1" si="58"/>
        <v/>
      </c>
      <c r="AA712" s="101" t="str">
        <f t="shared" ca="1" si="59"/>
        <v/>
      </c>
    </row>
    <row r="713" spans="2:27" ht="27.6" customHeight="1">
      <c r="B713">
        <f t="shared" ca="1" si="55"/>
        <v>0</v>
      </c>
      <c r="C713" t="s">
        <v>36</v>
      </c>
      <c r="G713" s="75">
        <v>1</v>
      </c>
      <c r="J713" s="66" t="str">
        <f t="shared" ca="1" si="56"/>
        <v>14%</v>
      </c>
      <c r="K713" t="s">
        <v>59</v>
      </c>
      <c r="L713" s="66" t="str">
        <f t="shared" ca="1" si="57"/>
        <v>Sin costo</v>
      </c>
      <c r="M713" t="s">
        <v>64</v>
      </c>
      <c r="N713" t="s">
        <v>66</v>
      </c>
      <c r="O713" t="s">
        <v>66</v>
      </c>
      <c r="P713" t="s">
        <v>66</v>
      </c>
      <c r="R713" t="s">
        <v>66</v>
      </c>
      <c r="U713" t="s">
        <v>90</v>
      </c>
      <c r="V713" t="s">
        <v>66</v>
      </c>
      <c r="W713" t="s">
        <v>66</v>
      </c>
      <c r="X713" t="s">
        <v>66</v>
      </c>
      <c r="Y713" t="s">
        <v>66</v>
      </c>
      <c r="Z713" s="99" t="str">
        <f t="shared" ca="1" si="58"/>
        <v/>
      </c>
      <c r="AA713" s="101" t="str">
        <f t="shared" ca="1" si="59"/>
        <v/>
      </c>
    </row>
    <row r="714" spans="2:27" ht="27.6" customHeight="1">
      <c r="B714">
        <f t="shared" ca="1" si="55"/>
        <v>0</v>
      </c>
      <c r="C714" t="s">
        <v>36</v>
      </c>
      <c r="G714" s="75">
        <v>1</v>
      </c>
      <c r="J714" s="66" t="str">
        <f t="shared" ca="1" si="56"/>
        <v>14%</v>
      </c>
      <c r="K714" t="s">
        <v>59</v>
      </c>
      <c r="L714" s="66" t="str">
        <f t="shared" ca="1" si="57"/>
        <v>Sin costo</v>
      </c>
      <c r="M714" t="s">
        <v>64</v>
      </c>
      <c r="N714" t="s">
        <v>66</v>
      </c>
      <c r="O714" t="s">
        <v>66</v>
      </c>
      <c r="P714" t="s">
        <v>66</v>
      </c>
      <c r="R714" t="s">
        <v>66</v>
      </c>
      <c r="U714" t="s">
        <v>90</v>
      </c>
      <c r="V714" t="s">
        <v>66</v>
      </c>
      <c r="W714" t="s">
        <v>66</v>
      </c>
      <c r="X714" t="s">
        <v>66</v>
      </c>
      <c r="Y714" t="s">
        <v>66</v>
      </c>
      <c r="Z714" s="99" t="str">
        <f t="shared" ca="1" si="58"/>
        <v/>
      </c>
      <c r="AA714" s="101" t="str">
        <f t="shared" ca="1" si="59"/>
        <v/>
      </c>
    </row>
    <row r="715" spans="2:27" ht="27.6" customHeight="1">
      <c r="B715">
        <f t="shared" ca="1" si="55"/>
        <v>0</v>
      </c>
      <c r="C715" t="s">
        <v>36</v>
      </c>
      <c r="G715" s="75">
        <v>1</v>
      </c>
      <c r="J715" s="66" t="str">
        <f t="shared" ca="1" si="56"/>
        <v>14%</v>
      </c>
      <c r="K715" t="s">
        <v>59</v>
      </c>
      <c r="L715" s="66" t="str">
        <f t="shared" ca="1" si="57"/>
        <v>Sin costo</v>
      </c>
      <c r="M715" t="s">
        <v>64</v>
      </c>
      <c r="N715" t="s">
        <v>66</v>
      </c>
      <c r="O715" t="s">
        <v>66</v>
      </c>
      <c r="P715" t="s">
        <v>66</v>
      </c>
      <c r="R715" t="s">
        <v>66</v>
      </c>
      <c r="U715" t="s">
        <v>90</v>
      </c>
      <c r="V715" t="s">
        <v>66</v>
      </c>
      <c r="W715" t="s">
        <v>66</v>
      </c>
      <c r="X715" t="s">
        <v>66</v>
      </c>
      <c r="Y715" t="s">
        <v>66</v>
      </c>
      <c r="Z715" s="99" t="str">
        <f t="shared" ca="1" si="58"/>
        <v/>
      </c>
      <c r="AA715" s="101" t="str">
        <f t="shared" ca="1" si="59"/>
        <v/>
      </c>
    </row>
    <row r="716" spans="2:27" ht="27.6" customHeight="1">
      <c r="B716">
        <f t="shared" ca="1" si="55"/>
        <v>0</v>
      </c>
      <c r="C716" t="s">
        <v>36</v>
      </c>
      <c r="G716" s="75">
        <v>1</v>
      </c>
      <c r="J716" s="66" t="str">
        <f t="shared" ca="1" si="56"/>
        <v>14%</v>
      </c>
      <c r="K716" t="s">
        <v>59</v>
      </c>
      <c r="L716" s="66" t="str">
        <f t="shared" ca="1" si="57"/>
        <v>Sin costo</v>
      </c>
      <c r="M716" t="s">
        <v>64</v>
      </c>
      <c r="N716" t="s">
        <v>66</v>
      </c>
      <c r="O716" t="s">
        <v>66</v>
      </c>
      <c r="P716" t="s">
        <v>66</v>
      </c>
      <c r="R716" t="s">
        <v>66</v>
      </c>
      <c r="U716" t="s">
        <v>90</v>
      </c>
      <c r="V716" t="s">
        <v>66</v>
      </c>
      <c r="W716" t="s">
        <v>66</v>
      </c>
      <c r="X716" t="s">
        <v>66</v>
      </c>
      <c r="Y716" t="s">
        <v>66</v>
      </c>
      <c r="Z716" s="99" t="str">
        <f t="shared" ca="1" si="58"/>
        <v/>
      </c>
      <c r="AA716" s="101" t="str">
        <f t="shared" ca="1" si="59"/>
        <v/>
      </c>
    </row>
    <row r="717" spans="2:27" ht="27.6" customHeight="1">
      <c r="B717">
        <f t="shared" ca="1" si="55"/>
        <v>0</v>
      </c>
      <c r="C717" t="s">
        <v>36</v>
      </c>
      <c r="G717" s="75">
        <v>1</v>
      </c>
      <c r="J717" s="66" t="str">
        <f t="shared" ca="1" si="56"/>
        <v>14%</v>
      </c>
      <c r="K717" t="s">
        <v>59</v>
      </c>
      <c r="L717" s="66" t="str">
        <f t="shared" ca="1" si="57"/>
        <v>Sin costo</v>
      </c>
      <c r="M717" t="s">
        <v>64</v>
      </c>
      <c r="N717" t="s">
        <v>66</v>
      </c>
      <c r="O717" t="s">
        <v>66</v>
      </c>
      <c r="P717" t="s">
        <v>66</v>
      </c>
      <c r="R717" t="s">
        <v>66</v>
      </c>
      <c r="U717" t="s">
        <v>90</v>
      </c>
      <c r="V717" t="s">
        <v>66</v>
      </c>
      <c r="W717" t="s">
        <v>66</v>
      </c>
      <c r="X717" t="s">
        <v>66</v>
      </c>
      <c r="Y717" t="s">
        <v>66</v>
      </c>
      <c r="Z717" s="99" t="str">
        <f t="shared" ca="1" si="58"/>
        <v/>
      </c>
      <c r="AA717" s="101" t="str">
        <f t="shared" ca="1" si="59"/>
        <v/>
      </c>
    </row>
    <row r="718" spans="2:27" ht="27.6" customHeight="1">
      <c r="B718">
        <f t="shared" ca="1" si="55"/>
        <v>0</v>
      </c>
      <c r="C718" t="s">
        <v>36</v>
      </c>
      <c r="G718" s="75">
        <v>1</v>
      </c>
      <c r="J718" s="66" t="str">
        <f t="shared" ca="1" si="56"/>
        <v>14%</v>
      </c>
      <c r="K718" t="s">
        <v>59</v>
      </c>
      <c r="L718" s="66" t="str">
        <f t="shared" ca="1" si="57"/>
        <v>Sin costo</v>
      </c>
      <c r="M718" t="s">
        <v>64</v>
      </c>
      <c r="N718" t="s">
        <v>66</v>
      </c>
      <c r="O718" t="s">
        <v>66</v>
      </c>
      <c r="P718" t="s">
        <v>66</v>
      </c>
      <c r="R718" t="s">
        <v>66</v>
      </c>
      <c r="U718" t="s">
        <v>90</v>
      </c>
      <c r="V718" t="s">
        <v>66</v>
      </c>
      <c r="W718" t="s">
        <v>66</v>
      </c>
      <c r="X718" t="s">
        <v>66</v>
      </c>
      <c r="Y718" t="s">
        <v>66</v>
      </c>
      <c r="Z718" s="99" t="str">
        <f t="shared" ca="1" si="58"/>
        <v/>
      </c>
      <c r="AA718" s="101" t="str">
        <f t="shared" ca="1" si="59"/>
        <v/>
      </c>
    </row>
    <row r="719" spans="2:27" ht="27.6" customHeight="1">
      <c r="B719">
        <f t="shared" ca="1" si="55"/>
        <v>0</v>
      </c>
      <c r="C719" t="s">
        <v>36</v>
      </c>
      <c r="G719" s="75">
        <v>1</v>
      </c>
      <c r="J719" s="66" t="str">
        <f t="shared" ca="1" si="56"/>
        <v>14%</v>
      </c>
      <c r="K719" t="s">
        <v>59</v>
      </c>
      <c r="L719" s="66" t="str">
        <f t="shared" ca="1" si="57"/>
        <v>Sin costo</v>
      </c>
      <c r="M719" t="s">
        <v>64</v>
      </c>
      <c r="N719" t="s">
        <v>66</v>
      </c>
      <c r="O719" t="s">
        <v>66</v>
      </c>
      <c r="P719" t="s">
        <v>66</v>
      </c>
      <c r="R719" t="s">
        <v>66</v>
      </c>
      <c r="U719" t="s">
        <v>90</v>
      </c>
      <c r="V719" t="s">
        <v>66</v>
      </c>
      <c r="W719" t="s">
        <v>66</v>
      </c>
      <c r="X719" t="s">
        <v>66</v>
      </c>
      <c r="Y719" t="s">
        <v>66</v>
      </c>
      <c r="Z719" s="99" t="str">
        <f t="shared" ca="1" si="58"/>
        <v/>
      </c>
      <c r="AA719" s="101" t="str">
        <f t="shared" ca="1" si="59"/>
        <v/>
      </c>
    </row>
    <row r="720" spans="2:27" ht="27.6" customHeight="1">
      <c r="B720">
        <f t="shared" ca="1" si="55"/>
        <v>0</v>
      </c>
      <c r="C720" t="s">
        <v>36</v>
      </c>
      <c r="G720" s="75">
        <v>1</v>
      </c>
      <c r="J720" s="66" t="str">
        <f t="shared" ca="1" si="56"/>
        <v>14%</v>
      </c>
      <c r="K720" t="s">
        <v>59</v>
      </c>
      <c r="L720" s="66" t="str">
        <f t="shared" ca="1" si="57"/>
        <v>Sin costo</v>
      </c>
      <c r="M720" t="s">
        <v>64</v>
      </c>
      <c r="N720" t="s">
        <v>66</v>
      </c>
      <c r="O720" t="s">
        <v>66</v>
      </c>
      <c r="P720" t="s">
        <v>66</v>
      </c>
      <c r="R720" t="s">
        <v>66</v>
      </c>
      <c r="U720" t="s">
        <v>90</v>
      </c>
      <c r="V720" t="s">
        <v>66</v>
      </c>
      <c r="W720" t="s">
        <v>66</v>
      </c>
      <c r="X720" t="s">
        <v>66</v>
      </c>
      <c r="Y720" t="s">
        <v>66</v>
      </c>
      <c r="Z720" s="99" t="str">
        <f t="shared" ca="1" si="58"/>
        <v/>
      </c>
      <c r="AA720" s="101" t="str">
        <f t="shared" ca="1" si="59"/>
        <v/>
      </c>
    </row>
    <row r="721" spans="2:27" ht="27.6" customHeight="1">
      <c r="B721">
        <f t="shared" ca="1" si="55"/>
        <v>0</v>
      </c>
      <c r="C721" t="s">
        <v>36</v>
      </c>
      <c r="G721" s="75">
        <v>1</v>
      </c>
      <c r="J721" s="66" t="str">
        <f t="shared" ca="1" si="56"/>
        <v>14%</v>
      </c>
      <c r="K721" t="s">
        <v>59</v>
      </c>
      <c r="L721" s="66" t="str">
        <f t="shared" ca="1" si="57"/>
        <v>Sin costo</v>
      </c>
      <c r="M721" t="s">
        <v>64</v>
      </c>
      <c r="N721" t="s">
        <v>66</v>
      </c>
      <c r="O721" t="s">
        <v>66</v>
      </c>
      <c r="P721" t="s">
        <v>66</v>
      </c>
      <c r="R721" t="s">
        <v>66</v>
      </c>
      <c r="U721" t="s">
        <v>90</v>
      </c>
      <c r="V721" t="s">
        <v>66</v>
      </c>
      <c r="W721" t="s">
        <v>66</v>
      </c>
      <c r="X721" t="s">
        <v>66</v>
      </c>
      <c r="Y721" t="s">
        <v>66</v>
      </c>
      <c r="Z721" s="99" t="str">
        <f t="shared" ca="1" si="58"/>
        <v/>
      </c>
      <c r="AA721" s="101" t="str">
        <f t="shared" ca="1" si="59"/>
        <v/>
      </c>
    </row>
    <row r="722" spans="2:27" ht="27.6" customHeight="1">
      <c r="B722">
        <f t="shared" ca="1" si="55"/>
        <v>0</v>
      </c>
      <c r="C722" t="s">
        <v>36</v>
      </c>
      <c r="G722" s="75">
        <v>1</v>
      </c>
      <c r="J722" s="66" t="str">
        <f t="shared" ca="1" si="56"/>
        <v>14%</v>
      </c>
      <c r="K722" t="s">
        <v>59</v>
      </c>
      <c r="L722" s="66" t="str">
        <f t="shared" ca="1" si="57"/>
        <v>Sin costo</v>
      </c>
      <c r="M722" t="s">
        <v>64</v>
      </c>
      <c r="N722" t="s">
        <v>66</v>
      </c>
      <c r="O722" t="s">
        <v>66</v>
      </c>
      <c r="P722" t="s">
        <v>66</v>
      </c>
      <c r="R722" t="s">
        <v>66</v>
      </c>
      <c r="U722" t="s">
        <v>90</v>
      </c>
      <c r="V722" t="s">
        <v>66</v>
      </c>
      <c r="W722" t="s">
        <v>66</v>
      </c>
      <c r="X722" t="s">
        <v>66</v>
      </c>
      <c r="Y722" t="s">
        <v>66</v>
      </c>
      <c r="Z722" s="99" t="str">
        <f t="shared" ca="1" si="58"/>
        <v/>
      </c>
      <c r="AA722" s="101" t="str">
        <f t="shared" ca="1" si="59"/>
        <v/>
      </c>
    </row>
    <row r="723" spans="2:27" ht="27.6" customHeight="1">
      <c r="B723">
        <f t="shared" ca="1" si="55"/>
        <v>0</v>
      </c>
      <c r="C723" t="s">
        <v>36</v>
      </c>
      <c r="G723" s="75">
        <v>1</v>
      </c>
      <c r="J723" s="66" t="str">
        <f t="shared" ca="1" si="56"/>
        <v>14%</v>
      </c>
      <c r="K723" t="s">
        <v>59</v>
      </c>
      <c r="L723" s="66" t="str">
        <f t="shared" ca="1" si="57"/>
        <v>Sin costo</v>
      </c>
      <c r="M723" t="s">
        <v>64</v>
      </c>
      <c r="N723" t="s">
        <v>66</v>
      </c>
      <c r="O723" t="s">
        <v>66</v>
      </c>
      <c r="P723" t="s">
        <v>66</v>
      </c>
      <c r="R723" t="s">
        <v>66</v>
      </c>
      <c r="U723" t="s">
        <v>90</v>
      </c>
      <c r="V723" t="s">
        <v>66</v>
      </c>
      <c r="W723" t="s">
        <v>66</v>
      </c>
      <c r="X723" t="s">
        <v>66</v>
      </c>
      <c r="Y723" t="s">
        <v>66</v>
      </c>
      <c r="Z723" s="99" t="str">
        <f t="shared" ca="1" si="58"/>
        <v/>
      </c>
      <c r="AA723" s="101" t="str">
        <f t="shared" ca="1" si="59"/>
        <v/>
      </c>
    </row>
    <row r="724" spans="2:27" ht="27.6" customHeight="1">
      <c r="B724">
        <f t="shared" ca="1" si="55"/>
        <v>0</v>
      </c>
      <c r="C724" t="s">
        <v>36</v>
      </c>
      <c r="G724" s="75">
        <v>1</v>
      </c>
      <c r="J724" s="66" t="str">
        <f t="shared" ca="1" si="56"/>
        <v>14%</v>
      </c>
      <c r="K724" t="s">
        <v>59</v>
      </c>
      <c r="L724" s="66" t="str">
        <f t="shared" ca="1" si="57"/>
        <v>Sin costo</v>
      </c>
      <c r="M724" t="s">
        <v>64</v>
      </c>
      <c r="N724" t="s">
        <v>66</v>
      </c>
      <c r="O724" t="s">
        <v>66</v>
      </c>
      <c r="P724" t="s">
        <v>66</v>
      </c>
      <c r="R724" t="s">
        <v>66</v>
      </c>
      <c r="U724" t="s">
        <v>90</v>
      </c>
      <c r="V724" t="s">
        <v>66</v>
      </c>
      <c r="W724" t="s">
        <v>66</v>
      </c>
      <c r="X724" t="s">
        <v>66</v>
      </c>
      <c r="Y724" t="s">
        <v>66</v>
      </c>
      <c r="Z724" s="99" t="str">
        <f t="shared" ca="1" si="58"/>
        <v/>
      </c>
      <c r="AA724" s="101" t="str">
        <f t="shared" ca="1" si="59"/>
        <v/>
      </c>
    </row>
    <row r="725" spans="2:27" ht="27.6" customHeight="1">
      <c r="B725">
        <f t="shared" ca="1" si="55"/>
        <v>0</v>
      </c>
      <c r="C725" t="s">
        <v>36</v>
      </c>
      <c r="G725" s="75">
        <v>1</v>
      </c>
      <c r="J725" s="66" t="str">
        <f t="shared" ca="1" si="56"/>
        <v>14%</v>
      </c>
      <c r="K725" t="s">
        <v>59</v>
      </c>
      <c r="L725" s="66" t="str">
        <f t="shared" ca="1" si="57"/>
        <v>Sin costo</v>
      </c>
      <c r="M725" t="s">
        <v>64</v>
      </c>
      <c r="N725" t="s">
        <v>66</v>
      </c>
      <c r="O725" t="s">
        <v>66</v>
      </c>
      <c r="P725" t="s">
        <v>66</v>
      </c>
      <c r="R725" t="s">
        <v>66</v>
      </c>
      <c r="U725" t="s">
        <v>90</v>
      </c>
      <c r="V725" t="s">
        <v>66</v>
      </c>
      <c r="W725" t="s">
        <v>66</v>
      </c>
      <c r="X725" t="s">
        <v>66</v>
      </c>
      <c r="Y725" t="s">
        <v>66</v>
      </c>
      <c r="Z725" s="99" t="str">
        <f t="shared" ca="1" si="58"/>
        <v/>
      </c>
      <c r="AA725" s="101" t="str">
        <f t="shared" ca="1" si="59"/>
        <v/>
      </c>
    </row>
    <row r="726" spans="2:27" ht="27.6" customHeight="1">
      <c r="B726">
        <f t="shared" ca="1" si="55"/>
        <v>0</v>
      </c>
      <c r="C726" t="s">
        <v>36</v>
      </c>
      <c r="G726" s="75">
        <v>1</v>
      </c>
      <c r="J726" s="66" t="str">
        <f t="shared" ca="1" si="56"/>
        <v>14%</v>
      </c>
      <c r="K726" t="s">
        <v>59</v>
      </c>
      <c r="L726" s="66" t="str">
        <f t="shared" ca="1" si="57"/>
        <v>Sin costo</v>
      </c>
      <c r="M726" t="s">
        <v>64</v>
      </c>
      <c r="N726" t="s">
        <v>66</v>
      </c>
      <c r="O726" t="s">
        <v>66</v>
      </c>
      <c r="P726" t="s">
        <v>66</v>
      </c>
      <c r="R726" t="s">
        <v>66</v>
      </c>
      <c r="U726" t="s">
        <v>90</v>
      </c>
      <c r="V726" t="s">
        <v>66</v>
      </c>
      <c r="W726" t="s">
        <v>66</v>
      </c>
      <c r="X726" t="s">
        <v>66</v>
      </c>
      <c r="Y726" t="s">
        <v>66</v>
      </c>
      <c r="Z726" s="99" t="str">
        <f t="shared" ca="1" si="58"/>
        <v/>
      </c>
      <c r="AA726" s="101" t="str">
        <f t="shared" ca="1" si="59"/>
        <v/>
      </c>
    </row>
    <row r="727" spans="2:27" ht="27.6" customHeight="1">
      <c r="B727">
        <f t="shared" ca="1" si="55"/>
        <v>0</v>
      </c>
      <c r="C727" t="s">
        <v>36</v>
      </c>
      <c r="G727" s="75">
        <v>1</v>
      </c>
      <c r="J727" s="66" t="str">
        <f t="shared" ca="1" si="56"/>
        <v>14%</v>
      </c>
      <c r="K727" t="s">
        <v>59</v>
      </c>
      <c r="L727" s="66" t="str">
        <f t="shared" ca="1" si="57"/>
        <v>Sin costo</v>
      </c>
      <c r="M727" t="s">
        <v>64</v>
      </c>
      <c r="N727" t="s">
        <v>66</v>
      </c>
      <c r="O727" t="s">
        <v>66</v>
      </c>
      <c r="P727" t="s">
        <v>66</v>
      </c>
      <c r="R727" t="s">
        <v>66</v>
      </c>
      <c r="U727" t="s">
        <v>90</v>
      </c>
      <c r="V727" t="s">
        <v>66</v>
      </c>
      <c r="W727" t="s">
        <v>66</v>
      </c>
      <c r="X727" t="s">
        <v>66</v>
      </c>
      <c r="Y727" t="s">
        <v>66</v>
      </c>
      <c r="Z727" s="99" t="str">
        <f t="shared" ca="1" si="58"/>
        <v/>
      </c>
      <c r="AA727" s="101" t="str">
        <f t="shared" ca="1" si="59"/>
        <v/>
      </c>
    </row>
    <row r="728" spans="2:27" ht="27.6" customHeight="1">
      <c r="B728">
        <f t="shared" ca="1" si="55"/>
        <v>0</v>
      </c>
      <c r="C728" t="s">
        <v>36</v>
      </c>
      <c r="G728" s="75">
        <v>1</v>
      </c>
      <c r="J728" s="66" t="str">
        <f t="shared" ca="1" si="56"/>
        <v>14%</v>
      </c>
      <c r="K728" t="s">
        <v>59</v>
      </c>
      <c r="L728" s="66" t="str">
        <f t="shared" ca="1" si="57"/>
        <v>Sin costo</v>
      </c>
      <c r="M728" t="s">
        <v>64</v>
      </c>
      <c r="N728" t="s">
        <v>66</v>
      </c>
      <c r="O728" t="s">
        <v>66</v>
      </c>
      <c r="P728" t="s">
        <v>66</v>
      </c>
      <c r="R728" t="s">
        <v>66</v>
      </c>
      <c r="U728" t="s">
        <v>90</v>
      </c>
      <c r="V728" t="s">
        <v>66</v>
      </c>
      <c r="W728" t="s">
        <v>66</v>
      </c>
      <c r="X728" t="s">
        <v>66</v>
      </c>
      <c r="Y728" t="s">
        <v>66</v>
      </c>
      <c r="Z728" s="99" t="str">
        <f t="shared" ca="1" si="58"/>
        <v/>
      </c>
      <c r="AA728" s="101" t="str">
        <f t="shared" ca="1" si="59"/>
        <v/>
      </c>
    </row>
    <row r="729" spans="2:27" ht="27.6" customHeight="1">
      <c r="B729">
        <f t="shared" ca="1" si="55"/>
        <v>0</v>
      </c>
      <c r="C729" t="s">
        <v>36</v>
      </c>
      <c r="G729" s="75">
        <v>1</v>
      </c>
      <c r="J729" s="66" t="str">
        <f t="shared" ca="1" si="56"/>
        <v>14%</v>
      </c>
      <c r="K729" t="s">
        <v>59</v>
      </c>
      <c r="L729" s="66" t="str">
        <f t="shared" ca="1" si="57"/>
        <v>Sin costo</v>
      </c>
      <c r="M729" t="s">
        <v>64</v>
      </c>
      <c r="N729" t="s">
        <v>66</v>
      </c>
      <c r="O729" t="s">
        <v>66</v>
      </c>
      <c r="P729" t="s">
        <v>66</v>
      </c>
      <c r="R729" t="s">
        <v>66</v>
      </c>
      <c r="U729" t="s">
        <v>90</v>
      </c>
      <c r="V729" t="s">
        <v>66</v>
      </c>
      <c r="W729" t="s">
        <v>66</v>
      </c>
      <c r="X729" t="s">
        <v>66</v>
      </c>
      <c r="Y729" t="s">
        <v>66</v>
      </c>
      <c r="Z729" s="99" t="str">
        <f t="shared" ca="1" si="58"/>
        <v/>
      </c>
      <c r="AA729" s="101" t="str">
        <f t="shared" ca="1" si="59"/>
        <v/>
      </c>
    </row>
    <row r="730" spans="2:27" ht="27.6" customHeight="1">
      <c r="B730">
        <f t="shared" ca="1" si="55"/>
        <v>0</v>
      </c>
      <c r="C730" t="s">
        <v>36</v>
      </c>
      <c r="G730" s="75">
        <v>1</v>
      </c>
      <c r="J730" s="66" t="str">
        <f t="shared" ca="1" si="56"/>
        <v>14%</v>
      </c>
      <c r="K730" t="s">
        <v>59</v>
      </c>
      <c r="L730" s="66" t="str">
        <f t="shared" ca="1" si="57"/>
        <v>Sin costo</v>
      </c>
      <c r="M730" t="s">
        <v>64</v>
      </c>
      <c r="N730" t="s">
        <v>66</v>
      </c>
      <c r="O730" t="s">
        <v>66</v>
      </c>
      <c r="P730" t="s">
        <v>66</v>
      </c>
      <c r="R730" t="s">
        <v>66</v>
      </c>
      <c r="U730" t="s">
        <v>90</v>
      </c>
      <c r="V730" t="s">
        <v>66</v>
      </c>
      <c r="W730" t="s">
        <v>66</v>
      </c>
      <c r="X730" t="s">
        <v>66</v>
      </c>
      <c r="Y730" t="s">
        <v>66</v>
      </c>
      <c r="Z730" s="99" t="str">
        <f t="shared" ca="1" si="58"/>
        <v/>
      </c>
      <c r="AA730" s="101" t="str">
        <f t="shared" ca="1" si="59"/>
        <v/>
      </c>
    </row>
    <row r="731" spans="2:27" ht="27.6" customHeight="1">
      <c r="B731">
        <f t="shared" ca="1" si="55"/>
        <v>0</v>
      </c>
      <c r="C731" t="s">
        <v>36</v>
      </c>
      <c r="G731" s="75">
        <v>1</v>
      </c>
      <c r="J731" s="66" t="str">
        <f t="shared" ca="1" si="56"/>
        <v>14%</v>
      </c>
      <c r="K731" t="s">
        <v>59</v>
      </c>
      <c r="L731" s="66" t="str">
        <f t="shared" ca="1" si="57"/>
        <v>Sin costo</v>
      </c>
      <c r="M731" t="s">
        <v>64</v>
      </c>
      <c r="N731" t="s">
        <v>66</v>
      </c>
      <c r="O731" t="s">
        <v>66</v>
      </c>
      <c r="P731" t="s">
        <v>66</v>
      </c>
      <c r="R731" t="s">
        <v>66</v>
      </c>
      <c r="U731" t="s">
        <v>90</v>
      </c>
      <c r="V731" t="s">
        <v>66</v>
      </c>
      <c r="W731" t="s">
        <v>66</v>
      </c>
      <c r="X731" t="s">
        <v>66</v>
      </c>
      <c r="Y731" t="s">
        <v>66</v>
      </c>
      <c r="Z731" s="99" t="str">
        <f t="shared" ca="1" si="58"/>
        <v/>
      </c>
      <c r="AA731" s="101" t="str">
        <f t="shared" ca="1" si="59"/>
        <v/>
      </c>
    </row>
    <row r="732" spans="2:27" ht="27.6" customHeight="1">
      <c r="B732">
        <f t="shared" ca="1" si="55"/>
        <v>0</v>
      </c>
      <c r="C732" t="s">
        <v>36</v>
      </c>
      <c r="G732" s="75">
        <v>1</v>
      </c>
      <c r="J732" s="66" t="str">
        <f t="shared" ca="1" si="56"/>
        <v>14%</v>
      </c>
      <c r="K732" t="s">
        <v>59</v>
      </c>
      <c r="L732" s="66" t="str">
        <f t="shared" ca="1" si="57"/>
        <v>Sin costo</v>
      </c>
      <c r="M732" t="s">
        <v>64</v>
      </c>
      <c r="N732" t="s">
        <v>66</v>
      </c>
      <c r="O732" t="s">
        <v>66</v>
      </c>
      <c r="P732" t="s">
        <v>66</v>
      </c>
      <c r="R732" t="s">
        <v>66</v>
      </c>
      <c r="U732" t="s">
        <v>90</v>
      </c>
      <c r="V732" t="s">
        <v>66</v>
      </c>
      <c r="W732" t="s">
        <v>66</v>
      </c>
      <c r="X732" t="s">
        <v>66</v>
      </c>
      <c r="Y732" t="s">
        <v>66</v>
      </c>
      <c r="Z732" s="99" t="str">
        <f t="shared" ca="1" si="58"/>
        <v/>
      </c>
      <c r="AA732" s="101" t="str">
        <f t="shared" ca="1" si="59"/>
        <v/>
      </c>
    </row>
    <row r="733" spans="2:27" ht="27.6" customHeight="1">
      <c r="B733">
        <f t="shared" ca="1" si="55"/>
        <v>0</v>
      </c>
      <c r="C733" t="s">
        <v>36</v>
      </c>
      <c r="G733" s="75">
        <v>1</v>
      </c>
      <c r="J733" s="66" t="str">
        <f t="shared" ca="1" si="56"/>
        <v>14%</v>
      </c>
      <c r="K733" t="s">
        <v>59</v>
      </c>
      <c r="L733" s="66" t="str">
        <f t="shared" ca="1" si="57"/>
        <v>Sin costo</v>
      </c>
      <c r="M733" t="s">
        <v>64</v>
      </c>
      <c r="N733" t="s">
        <v>66</v>
      </c>
      <c r="O733" t="s">
        <v>66</v>
      </c>
      <c r="P733" t="s">
        <v>66</v>
      </c>
      <c r="R733" t="s">
        <v>66</v>
      </c>
      <c r="U733" t="s">
        <v>90</v>
      </c>
      <c r="V733" t="s">
        <v>66</v>
      </c>
      <c r="W733" t="s">
        <v>66</v>
      </c>
      <c r="X733" t="s">
        <v>66</v>
      </c>
      <c r="Y733" t="s">
        <v>66</v>
      </c>
      <c r="Z733" s="99" t="str">
        <f t="shared" ca="1" si="58"/>
        <v/>
      </c>
      <c r="AA733" s="101" t="str">
        <f t="shared" ca="1" si="59"/>
        <v/>
      </c>
    </row>
    <row r="734" spans="2:27" ht="27.6" customHeight="1">
      <c r="B734">
        <f t="shared" ca="1" si="55"/>
        <v>0</v>
      </c>
      <c r="C734" t="s">
        <v>36</v>
      </c>
      <c r="G734" s="75">
        <v>1</v>
      </c>
      <c r="J734" s="66" t="str">
        <f t="shared" ca="1" si="56"/>
        <v>14%</v>
      </c>
      <c r="K734" t="s">
        <v>59</v>
      </c>
      <c r="L734" s="66" t="str">
        <f t="shared" ca="1" si="57"/>
        <v>Sin costo</v>
      </c>
      <c r="M734" t="s">
        <v>64</v>
      </c>
      <c r="N734" t="s">
        <v>66</v>
      </c>
      <c r="O734" t="s">
        <v>66</v>
      </c>
      <c r="P734" t="s">
        <v>66</v>
      </c>
      <c r="R734" t="s">
        <v>66</v>
      </c>
      <c r="U734" t="s">
        <v>90</v>
      </c>
      <c r="V734" t="s">
        <v>66</v>
      </c>
      <c r="W734" t="s">
        <v>66</v>
      </c>
      <c r="X734" t="s">
        <v>66</v>
      </c>
      <c r="Y734" t="s">
        <v>66</v>
      </c>
      <c r="Z734" s="99" t="str">
        <f t="shared" ca="1" si="58"/>
        <v/>
      </c>
      <c r="AA734" s="101" t="str">
        <f t="shared" ca="1" si="59"/>
        <v/>
      </c>
    </row>
    <row r="735" spans="2:27" ht="27.6" customHeight="1">
      <c r="B735">
        <f t="shared" ca="1" si="55"/>
        <v>0</v>
      </c>
      <c r="C735" t="s">
        <v>36</v>
      </c>
      <c r="G735" s="75">
        <v>1</v>
      </c>
      <c r="J735" s="66" t="str">
        <f t="shared" ca="1" si="56"/>
        <v>14%</v>
      </c>
      <c r="K735" t="s">
        <v>59</v>
      </c>
      <c r="L735" s="66" t="str">
        <f t="shared" ca="1" si="57"/>
        <v>Sin costo</v>
      </c>
      <c r="M735" t="s">
        <v>64</v>
      </c>
      <c r="N735" t="s">
        <v>66</v>
      </c>
      <c r="O735" t="s">
        <v>66</v>
      </c>
      <c r="P735" t="s">
        <v>66</v>
      </c>
      <c r="R735" t="s">
        <v>66</v>
      </c>
      <c r="U735" t="s">
        <v>90</v>
      </c>
      <c r="V735" t="s">
        <v>66</v>
      </c>
      <c r="W735" t="s">
        <v>66</v>
      </c>
      <c r="X735" t="s">
        <v>66</v>
      </c>
      <c r="Y735" t="s">
        <v>66</v>
      </c>
      <c r="Z735" s="99" t="str">
        <f t="shared" ca="1" si="58"/>
        <v/>
      </c>
      <c r="AA735" s="101" t="str">
        <f t="shared" ca="1" si="59"/>
        <v/>
      </c>
    </row>
    <row r="736" spans="2:27" ht="27.6" customHeight="1">
      <c r="B736">
        <f t="shared" ca="1" si="55"/>
        <v>0</v>
      </c>
      <c r="C736" t="s">
        <v>36</v>
      </c>
      <c r="G736" s="75">
        <v>1</v>
      </c>
      <c r="J736" s="66" t="str">
        <f t="shared" ca="1" si="56"/>
        <v>14%</v>
      </c>
      <c r="K736" t="s">
        <v>59</v>
      </c>
      <c r="L736" s="66" t="str">
        <f t="shared" ca="1" si="57"/>
        <v>Sin costo</v>
      </c>
      <c r="M736" t="s">
        <v>64</v>
      </c>
      <c r="N736" t="s">
        <v>66</v>
      </c>
      <c r="O736" t="s">
        <v>66</v>
      </c>
      <c r="P736" t="s">
        <v>66</v>
      </c>
      <c r="R736" t="s">
        <v>66</v>
      </c>
      <c r="U736" t="s">
        <v>90</v>
      </c>
      <c r="V736" t="s">
        <v>66</v>
      </c>
      <c r="W736" t="s">
        <v>66</v>
      </c>
      <c r="X736" t="s">
        <v>66</v>
      </c>
      <c r="Y736" t="s">
        <v>66</v>
      </c>
      <c r="Z736" s="99" t="str">
        <f t="shared" ca="1" si="58"/>
        <v/>
      </c>
      <c r="AA736" s="101" t="str">
        <f t="shared" ca="1" si="59"/>
        <v/>
      </c>
    </row>
    <row r="737" spans="2:27" ht="27.6" customHeight="1">
      <c r="B737">
        <f t="shared" ca="1" si="55"/>
        <v>0</v>
      </c>
      <c r="C737" t="s">
        <v>36</v>
      </c>
      <c r="G737" s="75">
        <v>1</v>
      </c>
      <c r="J737" s="66" t="str">
        <f t="shared" ca="1" si="56"/>
        <v>14%</v>
      </c>
      <c r="K737" t="s">
        <v>59</v>
      </c>
      <c r="L737" s="66" t="str">
        <f t="shared" ca="1" si="57"/>
        <v>Sin costo</v>
      </c>
      <c r="M737" t="s">
        <v>64</v>
      </c>
      <c r="N737" t="s">
        <v>66</v>
      </c>
      <c r="O737" t="s">
        <v>66</v>
      </c>
      <c r="P737" t="s">
        <v>66</v>
      </c>
      <c r="R737" t="s">
        <v>66</v>
      </c>
      <c r="U737" t="s">
        <v>90</v>
      </c>
      <c r="V737" t="s">
        <v>66</v>
      </c>
      <c r="W737" t="s">
        <v>66</v>
      </c>
      <c r="X737" t="s">
        <v>66</v>
      </c>
      <c r="Y737" t="s">
        <v>66</v>
      </c>
      <c r="Z737" s="99" t="str">
        <f t="shared" ca="1" si="58"/>
        <v/>
      </c>
      <c r="AA737" s="101" t="str">
        <f t="shared" ca="1" si="59"/>
        <v/>
      </c>
    </row>
    <row r="738" spans="2:27" ht="27.6" customHeight="1">
      <c r="B738">
        <f t="shared" ca="1" si="55"/>
        <v>0</v>
      </c>
      <c r="C738" t="s">
        <v>36</v>
      </c>
      <c r="G738" s="75">
        <v>1</v>
      </c>
      <c r="J738" s="66" t="str">
        <f t="shared" ca="1" si="56"/>
        <v>14%</v>
      </c>
      <c r="K738" t="s">
        <v>59</v>
      </c>
      <c r="L738" s="66" t="str">
        <f t="shared" ca="1" si="57"/>
        <v>Sin costo</v>
      </c>
      <c r="M738" t="s">
        <v>64</v>
      </c>
      <c r="N738" t="s">
        <v>66</v>
      </c>
      <c r="O738" t="s">
        <v>66</v>
      </c>
      <c r="P738" t="s">
        <v>66</v>
      </c>
      <c r="R738" t="s">
        <v>66</v>
      </c>
      <c r="U738" t="s">
        <v>90</v>
      </c>
      <c r="V738" t="s">
        <v>66</v>
      </c>
      <c r="W738" t="s">
        <v>66</v>
      </c>
      <c r="X738" t="s">
        <v>66</v>
      </c>
      <c r="Y738" t="s">
        <v>66</v>
      </c>
      <c r="Z738" s="99" t="str">
        <f t="shared" ca="1" si="58"/>
        <v/>
      </c>
      <c r="AA738" s="101" t="str">
        <f t="shared" ca="1" si="59"/>
        <v/>
      </c>
    </row>
    <row r="739" spans="2:27" ht="27.6" customHeight="1">
      <c r="B739">
        <f t="shared" ca="1" si="55"/>
        <v>0</v>
      </c>
      <c r="C739" t="s">
        <v>36</v>
      </c>
      <c r="G739" s="75">
        <v>1</v>
      </c>
      <c r="J739" s="66" t="str">
        <f t="shared" ca="1" si="56"/>
        <v>14%</v>
      </c>
      <c r="K739" t="s">
        <v>59</v>
      </c>
      <c r="L739" s="66" t="str">
        <f t="shared" ca="1" si="57"/>
        <v>Sin costo</v>
      </c>
      <c r="M739" t="s">
        <v>64</v>
      </c>
      <c r="N739" t="s">
        <v>66</v>
      </c>
      <c r="O739" t="s">
        <v>66</v>
      </c>
      <c r="P739" t="s">
        <v>66</v>
      </c>
      <c r="R739" t="s">
        <v>66</v>
      </c>
      <c r="U739" t="s">
        <v>90</v>
      </c>
      <c r="V739" t="s">
        <v>66</v>
      </c>
      <c r="W739" t="s">
        <v>66</v>
      </c>
      <c r="X739" t="s">
        <v>66</v>
      </c>
      <c r="Y739" t="s">
        <v>66</v>
      </c>
      <c r="Z739" s="99" t="str">
        <f t="shared" ca="1" si="58"/>
        <v/>
      </c>
      <c r="AA739" s="101" t="str">
        <f t="shared" ca="1" si="59"/>
        <v/>
      </c>
    </row>
    <row r="740" spans="2:27" ht="27.6" customHeight="1">
      <c r="B740">
        <f t="shared" ca="1" si="55"/>
        <v>0</v>
      </c>
      <c r="C740" t="s">
        <v>36</v>
      </c>
      <c r="G740" s="75">
        <v>1</v>
      </c>
      <c r="J740" s="66" t="str">
        <f t="shared" ca="1" si="56"/>
        <v>14%</v>
      </c>
      <c r="K740" t="s">
        <v>59</v>
      </c>
      <c r="L740" s="66" t="str">
        <f t="shared" ca="1" si="57"/>
        <v>Sin costo</v>
      </c>
      <c r="M740" t="s">
        <v>64</v>
      </c>
      <c r="N740" t="s">
        <v>66</v>
      </c>
      <c r="O740" t="s">
        <v>66</v>
      </c>
      <c r="P740" t="s">
        <v>66</v>
      </c>
      <c r="R740" t="s">
        <v>66</v>
      </c>
      <c r="U740" t="s">
        <v>90</v>
      </c>
      <c r="V740" t="s">
        <v>66</v>
      </c>
      <c r="W740" t="s">
        <v>66</v>
      </c>
      <c r="X740" t="s">
        <v>66</v>
      </c>
      <c r="Y740" t="s">
        <v>66</v>
      </c>
      <c r="Z740" s="99" t="str">
        <f t="shared" ca="1" si="58"/>
        <v/>
      </c>
      <c r="AA740" s="101" t="str">
        <f t="shared" ca="1" si="59"/>
        <v/>
      </c>
    </row>
    <row r="741" spans="2:27" ht="27.6" customHeight="1">
      <c r="B741">
        <f t="shared" ca="1" si="55"/>
        <v>0</v>
      </c>
      <c r="C741" t="s">
        <v>36</v>
      </c>
      <c r="G741" s="75">
        <v>1</v>
      </c>
      <c r="J741" s="66" t="str">
        <f t="shared" ca="1" si="56"/>
        <v>14%</v>
      </c>
      <c r="K741" t="s">
        <v>59</v>
      </c>
      <c r="L741" s="66" t="str">
        <f t="shared" ca="1" si="57"/>
        <v>Sin costo</v>
      </c>
      <c r="M741" t="s">
        <v>64</v>
      </c>
      <c r="N741" t="s">
        <v>66</v>
      </c>
      <c r="O741" t="s">
        <v>66</v>
      </c>
      <c r="P741" t="s">
        <v>66</v>
      </c>
      <c r="R741" t="s">
        <v>66</v>
      </c>
      <c r="U741" t="s">
        <v>90</v>
      </c>
      <c r="V741" t="s">
        <v>66</v>
      </c>
      <c r="W741" t="s">
        <v>66</v>
      </c>
      <c r="X741" t="s">
        <v>66</v>
      </c>
      <c r="Y741" t="s">
        <v>66</v>
      </c>
      <c r="Z741" s="99" t="str">
        <f t="shared" ca="1" si="58"/>
        <v/>
      </c>
      <c r="AA741" s="101" t="str">
        <f t="shared" ca="1" si="59"/>
        <v/>
      </c>
    </row>
    <row r="742" spans="2:27" ht="27.6" customHeight="1">
      <c r="B742">
        <f t="shared" ca="1" si="55"/>
        <v>0</v>
      </c>
      <c r="C742" t="s">
        <v>36</v>
      </c>
      <c r="G742" s="75">
        <v>1</v>
      </c>
      <c r="J742" s="66" t="str">
        <f t="shared" ca="1" si="56"/>
        <v>14%</v>
      </c>
      <c r="K742" t="s">
        <v>59</v>
      </c>
      <c r="L742" s="66" t="str">
        <f t="shared" ca="1" si="57"/>
        <v>Sin costo</v>
      </c>
      <c r="M742" t="s">
        <v>64</v>
      </c>
      <c r="N742" t="s">
        <v>66</v>
      </c>
      <c r="O742" t="s">
        <v>66</v>
      </c>
      <c r="P742" t="s">
        <v>66</v>
      </c>
      <c r="R742" t="s">
        <v>66</v>
      </c>
      <c r="U742" t="s">
        <v>90</v>
      </c>
      <c r="V742" t="s">
        <v>66</v>
      </c>
      <c r="W742" t="s">
        <v>66</v>
      </c>
      <c r="X742" t="s">
        <v>66</v>
      </c>
      <c r="Y742" t="s">
        <v>66</v>
      </c>
      <c r="Z742" s="99" t="str">
        <f t="shared" ca="1" si="58"/>
        <v/>
      </c>
      <c r="AA742" s="101" t="str">
        <f t="shared" ca="1" si="59"/>
        <v/>
      </c>
    </row>
    <row r="743" spans="2:27" ht="27.6" customHeight="1">
      <c r="B743">
        <f t="shared" ca="1" si="55"/>
        <v>0</v>
      </c>
      <c r="C743" t="s">
        <v>36</v>
      </c>
      <c r="G743" s="75">
        <v>1</v>
      </c>
      <c r="J743" s="66" t="str">
        <f t="shared" ca="1" si="56"/>
        <v>14%</v>
      </c>
      <c r="K743" t="s">
        <v>59</v>
      </c>
      <c r="L743" s="66" t="str">
        <f t="shared" ca="1" si="57"/>
        <v>Sin costo</v>
      </c>
      <c r="M743" t="s">
        <v>64</v>
      </c>
      <c r="N743" t="s">
        <v>66</v>
      </c>
      <c r="O743" t="s">
        <v>66</v>
      </c>
      <c r="P743" t="s">
        <v>66</v>
      </c>
      <c r="R743" t="s">
        <v>66</v>
      </c>
      <c r="U743" t="s">
        <v>90</v>
      </c>
      <c r="V743" t="s">
        <v>66</v>
      </c>
      <c r="W743" t="s">
        <v>66</v>
      </c>
      <c r="X743" t="s">
        <v>66</v>
      </c>
      <c r="Y743" t="s">
        <v>66</v>
      </c>
      <c r="Z743" s="99" t="str">
        <f t="shared" ca="1" si="58"/>
        <v/>
      </c>
      <c r="AA743" s="101" t="str">
        <f t="shared" ca="1" si="59"/>
        <v/>
      </c>
    </row>
    <row r="744" spans="2:27" ht="27.6" customHeight="1">
      <c r="B744">
        <f t="shared" ca="1" si="55"/>
        <v>0</v>
      </c>
      <c r="C744" t="s">
        <v>36</v>
      </c>
      <c r="G744" s="75">
        <v>1</v>
      </c>
      <c r="J744" s="66" t="str">
        <f t="shared" ca="1" si="56"/>
        <v>14%</v>
      </c>
      <c r="K744" t="s">
        <v>59</v>
      </c>
      <c r="L744" s="66" t="str">
        <f t="shared" ca="1" si="57"/>
        <v>Sin costo</v>
      </c>
      <c r="M744" t="s">
        <v>64</v>
      </c>
      <c r="N744" t="s">
        <v>66</v>
      </c>
      <c r="O744" t="s">
        <v>66</v>
      </c>
      <c r="P744" t="s">
        <v>66</v>
      </c>
      <c r="R744" t="s">
        <v>66</v>
      </c>
      <c r="U744" t="s">
        <v>90</v>
      </c>
      <c r="V744" t="s">
        <v>66</v>
      </c>
      <c r="W744" t="s">
        <v>66</v>
      </c>
      <c r="X744" t="s">
        <v>66</v>
      </c>
      <c r="Y744" t="s">
        <v>66</v>
      </c>
      <c r="Z744" s="99" t="str">
        <f t="shared" ca="1" si="58"/>
        <v/>
      </c>
      <c r="AA744" s="101" t="str">
        <f t="shared" ca="1" si="59"/>
        <v/>
      </c>
    </row>
    <row r="745" spans="2:27" ht="27.6" customHeight="1">
      <c r="B745">
        <f t="shared" ca="1" si="55"/>
        <v>0</v>
      </c>
      <c r="C745" t="s">
        <v>36</v>
      </c>
      <c r="G745" s="75">
        <v>1</v>
      </c>
      <c r="J745" s="66" t="str">
        <f t="shared" ca="1" si="56"/>
        <v>14%</v>
      </c>
      <c r="K745" t="s">
        <v>59</v>
      </c>
      <c r="L745" s="66" t="str">
        <f t="shared" ca="1" si="57"/>
        <v>Sin costo</v>
      </c>
      <c r="M745" t="s">
        <v>64</v>
      </c>
      <c r="N745" t="s">
        <v>66</v>
      </c>
      <c r="O745" t="s">
        <v>66</v>
      </c>
      <c r="P745" t="s">
        <v>66</v>
      </c>
      <c r="R745" t="s">
        <v>66</v>
      </c>
      <c r="U745" t="s">
        <v>90</v>
      </c>
      <c r="V745" t="s">
        <v>66</v>
      </c>
      <c r="W745" t="s">
        <v>66</v>
      </c>
      <c r="X745" t="s">
        <v>66</v>
      </c>
      <c r="Y745" t="s">
        <v>66</v>
      </c>
      <c r="Z745" s="99" t="str">
        <f t="shared" ca="1" si="58"/>
        <v/>
      </c>
      <c r="AA745" s="101" t="str">
        <f t="shared" ca="1" si="59"/>
        <v/>
      </c>
    </row>
    <row r="746" spans="2:27" ht="27.6" customHeight="1">
      <c r="B746">
        <f t="shared" ca="1" si="55"/>
        <v>0</v>
      </c>
      <c r="C746" t="s">
        <v>36</v>
      </c>
      <c r="G746" s="75">
        <v>1</v>
      </c>
      <c r="J746" s="66" t="str">
        <f t="shared" ca="1" si="56"/>
        <v>14%</v>
      </c>
      <c r="K746" t="s">
        <v>59</v>
      </c>
      <c r="L746" s="66" t="str">
        <f t="shared" ca="1" si="57"/>
        <v>Sin costo</v>
      </c>
      <c r="M746" t="s">
        <v>64</v>
      </c>
      <c r="N746" t="s">
        <v>66</v>
      </c>
      <c r="O746" t="s">
        <v>66</v>
      </c>
      <c r="P746" t="s">
        <v>66</v>
      </c>
      <c r="R746" t="s">
        <v>66</v>
      </c>
      <c r="U746" t="s">
        <v>90</v>
      </c>
      <c r="V746" t="s">
        <v>66</v>
      </c>
      <c r="W746" t="s">
        <v>66</v>
      </c>
      <c r="X746" t="s">
        <v>66</v>
      </c>
      <c r="Y746" t="s">
        <v>66</v>
      </c>
      <c r="Z746" s="99" t="str">
        <f t="shared" ca="1" si="58"/>
        <v/>
      </c>
      <c r="AA746" s="101" t="str">
        <f t="shared" ca="1" si="59"/>
        <v/>
      </c>
    </row>
    <row r="747" spans="2:27" ht="27.6" customHeight="1">
      <c r="B747">
        <f t="shared" ca="1" si="55"/>
        <v>0</v>
      </c>
      <c r="C747" t="s">
        <v>36</v>
      </c>
      <c r="G747" s="75">
        <v>1</v>
      </c>
      <c r="J747" s="66" t="str">
        <f t="shared" ca="1" si="56"/>
        <v>14%</v>
      </c>
      <c r="K747" t="s">
        <v>59</v>
      </c>
      <c r="L747" s="66" t="str">
        <f t="shared" ca="1" si="57"/>
        <v>Sin costo</v>
      </c>
      <c r="M747" t="s">
        <v>64</v>
      </c>
      <c r="N747" t="s">
        <v>66</v>
      </c>
      <c r="O747" t="s">
        <v>66</v>
      </c>
      <c r="P747" t="s">
        <v>66</v>
      </c>
      <c r="R747" t="s">
        <v>66</v>
      </c>
      <c r="U747" t="s">
        <v>90</v>
      </c>
      <c r="V747" t="s">
        <v>66</v>
      </c>
      <c r="W747" t="s">
        <v>66</v>
      </c>
      <c r="X747" t="s">
        <v>66</v>
      </c>
      <c r="Y747" t="s">
        <v>66</v>
      </c>
      <c r="Z747" s="99" t="str">
        <f t="shared" ca="1" si="58"/>
        <v/>
      </c>
      <c r="AA747" s="101" t="str">
        <f t="shared" ca="1" si="59"/>
        <v/>
      </c>
    </row>
    <row r="748" spans="2:27" ht="27.6" customHeight="1">
      <c r="B748">
        <f t="shared" ca="1" si="55"/>
        <v>0</v>
      </c>
      <c r="C748" t="s">
        <v>36</v>
      </c>
      <c r="G748" s="75">
        <v>1</v>
      </c>
      <c r="J748" s="66" t="str">
        <f t="shared" ca="1" si="56"/>
        <v>14%</v>
      </c>
      <c r="K748" t="s">
        <v>59</v>
      </c>
      <c r="L748" s="66" t="str">
        <f t="shared" ca="1" si="57"/>
        <v>Sin costo</v>
      </c>
      <c r="M748" t="s">
        <v>64</v>
      </c>
      <c r="N748" t="s">
        <v>66</v>
      </c>
      <c r="O748" t="s">
        <v>66</v>
      </c>
      <c r="P748" t="s">
        <v>66</v>
      </c>
      <c r="R748" t="s">
        <v>66</v>
      </c>
      <c r="U748" t="s">
        <v>90</v>
      </c>
      <c r="V748" t="s">
        <v>66</v>
      </c>
      <c r="W748" t="s">
        <v>66</v>
      </c>
      <c r="X748" t="s">
        <v>66</v>
      </c>
      <c r="Y748" t="s">
        <v>66</v>
      </c>
      <c r="Z748" s="99" t="str">
        <f t="shared" ca="1" si="58"/>
        <v/>
      </c>
      <c r="AA748" s="101" t="str">
        <f t="shared" ca="1" si="59"/>
        <v/>
      </c>
    </row>
    <row r="749" spans="2:27" ht="27.6" customHeight="1">
      <c r="B749">
        <f t="shared" ca="1" si="55"/>
        <v>0</v>
      </c>
      <c r="C749" t="s">
        <v>36</v>
      </c>
      <c r="G749" s="75">
        <v>1</v>
      </c>
      <c r="J749" s="66" t="str">
        <f t="shared" ca="1" si="56"/>
        <v>14%</v>
      </c>
      <c r="K749" t="s">
        <v>59</v>
      </c>
      <c r="L749" s="66" t="str">
        <f t="shared" ca="1" si="57"/>
        <v>Sin costo</v>
      </c>
      <c r="M749" t="s">
        <v>64</v>
      </c>
      <c r="N749" t="s">
        <v>66</v>
      </c>
      <c r="O749" t="s">
        <v>66</v>
      </c>
      <c r="P749" t="s">
        <v>66</v>
      </c>
      <c r="R749" t="s">
        <v>66</v>
      </c>
      <c r="U749" t="s">
        <v>90</v>
      </c>
      <c r="V749" t="s">
        <v>66</v>
      </c>
      <c r="W749" t="s">
        <v>66</v>
      </c>
      <c r="X749" t="s">
        <v>66</v>
      </c>
      <c r="Y749" t="s">
        <v>66</v>
      </c>
      <c r="Z749" s="99" t="str">
        <f t="shared" ca="1" si="58"/>
        <v/>
      </c>
      <c r="AA749" s="101" t="str">
        <f t="shared" ca="1" si="59"/>
        <v/>
      </c>
    </row>
    <row r="750" spans="2:27" ht="27.6" customHeight="1">
      <c r="B750">
        <f t="shared" ca="1" si="55"/>
        <v>0</v>
      </c>
      <c r="C750" t="s">
        <v>36</v>
      </c>
      <c r="G750" s="75">
        <v>1</v>
      </c>
      <c r="J750" s="66" t="str">
        <f t="shared" ca="1" si="56"/>
        <v>14%</v>
      </c>
      <c r="K750" t="s">
        <v>59</v>
      </c>
      <c r="L750" s="66" t="str">
        <f t="shared" ca="1" si="57"/>
        <v>Sin costo</v>
      </c>
      <c r="M750" t="s">
        <v>64</v>
      </c>
      <c r="N750" t="s">
        <v>66</v>
      </c>
      <c r="O750" t="s">
        <v>66</v>
      </c>
      <c r="P750" t="s">
        <v>66</v>
      </c>
      <c r="R750" t="s">
        <v>66</v>
      </c>
      <c r="U750" t="s">
        <v>90</v>
      </c>
      <c r="V750" t="s">
        <v>66</v>
      </c>
      <c r="W750" t="s">
        <v>66</v>
      </c>
      <c r="X750" t="s">
        <v>66</v>
      </c>
      <c r="Y750" t="s">
        <v>66</v>
      </c>
      <c r="Z750" s="99" t="str">
        <f t="shared" ca="1" si="58"/>
        <v/>
      </c>
      <c r="AA750" s="101" t="str">
        <f t="shared" ca="1" si="59"/>
        <v/>
      </c>
    </row>
    <row r="751" spans="2:27" ht="27.6" customHeight="1">
      <c r="B751">
        <f t="shared" ca="1" si="55"/>
        <v>0</v>
      </c>
      <c r="C751" t="s">
        <v>36</v>
      </c>
      <c r="G751" s="75">
        <v>1</v>
      </c>
      <c r="J751" s="66" t="str">
        <f t="shared" ca="1" si="56"/>
        <v>14%</v>
      </c>
      <c r="K751" t="s">
        <v>59</v>
      </c>
      <c r="L751" s="66" t="str">
        <f t="shared" ca="1" si="57"/>
        <v>Sin costo</v>
      </c>
      <c r="M751" t="s">
        <v>64</v>
      </c>
      <c r="N751" t="s">
        <v>66</v>
      </c>
      <c r="O751" t="s">
        <v>66</v>
      </c>
      <c r="P751" t="s">
        <v>66</v>
      </c>
      <c r="R751" t="s">
        <v>66</v>
      </c>
      <c r="U751" t="s">
        <v>90</v>
      </c>
      <c r="V751" t="s">
        <v>66</v>
      </c>
      <c r="W751" t="s">
        <v>66</v>
      </c>
      <c r="X751" t="s">
        <v>66</v>
      </c>
      <c r="Y751" t="s">
        <v>66</v>
      </c>
      <c r="Z751" s="99" t="str">
        <f t="shared" ca="1" si="58"/>
        <v/>
      </c>
      <c r="AA751" s="101" t="str">
        <f t="shared" ca="1" si="59"/>
        <v/>
      </c>
    </row>
    <row r="752" spans="2:27" ht="27.6" customHeight="1">
      <c r="B752">
        <f t="shared" ca="1" si="55"/>
        <v>0</v>
      </c>
      <c r="C752" t="s">
        <v>36</v>
      </c>
      <c r="G752" s="75">
        <v>1</v>
      </c>
      <c r="J752" s="66" t="str">
        <f t="shared" ca="1" si="56"/>
        <v>14%</v>
      </c>
      <c r="K752" t="s">
        <v>59</v>
      </c>
      <c r="L752" s="66" t="str">
        <f t="shared" ca="1" si="57"/>
        <v>Sin costo</v>
      </c>
      <c r="M752" t="s">
        <v>64</v>
      </c>
      <c r="N752" t="s">
        <v>66</v>
      </c>
      <c r="O752" t="s">
        <v>66</v>
      </c>
      <c r="P752" t="s">
        <v>66</v>
      </c>
      <c r="R752" t="s">
        <v>66</v>
      </c>
      <c r="U752" t="s">
        <v>90</v>
      </c>
      <c r="V752" t="s">
        <v>66</v>
      </c>
      <c r="W752" t="s">
        <v>66</v>
      </c>
      <c r="X752" t="s">
        <v>66</v>
      </c>
      <c r="Y752" t="s">
        <v>66</v>
      </c>
      <c r="Z752" s="99" t="str">
        <f t="shared" ca="1" si="58"/>
        <v/>
      </c>
      <c r="AA752" s="101" t="str">
        <f t="shared" ca="1" si="59"/>
        <v/>
      </c>
    </row>
    <row r="753" spans="2:27" ht="27.6" customHeight="1">
      <c r="B753">
        <f t="shared" ca="1" si="55"/>
        <v>0</v>
      </c>
      <c r="C753" t="s">
        <v>36</v>
      </c>
      <c r="G753" s="75">
        <v>1</v>
      </c>
      <c r="J753" s="66" t="str">
        <f t="shared" ca="1" si="56"/>
        <v>14%</v>
      </c>
      <c r="K753" t="s">
        <v>59</v>
      </c>
      <c r="L753" s="66" t="str">
        <f t="shared" ca="1" si="57"/>
        <v>Sin costo</v>
      </c>
      <c r="M753" t="s">
        <v>64</v>
      </c>
      <c r="N753" t="s">
        <v>66</v>
      </c>
      <c r="O753" t="s">
        <v>66</v>
      </c>
      <c r="P753" t="s">
        <v>66</v>
      </c>
      <c r="R753" t="s">
        <v>66</v>
      </c>
      <c r="U753" t="s">
        <v>90</v>
      </c>
      <c r="V753" t="s">
        <v>66</v>
      </c>
      <c r="W753" t="s">
        <v>66</v>
      </c>
      <c r="X753" t="s">
        <v>66</v>
      </c>
      <c r="Y753" t="s">
        <v>66</v>
      </c>
      <c r="Z753" s="99" t="str">
        <f t="shared" ca="1" si="58"/>
        <v/>
      </c>
      <c r="AA753" s="101" t="str">
        <f t="shared" ca="1" si="59"/>
        <v/>
      </c>
    </row>
    <row r="754" spans="2:27" ht="27.6" customHeight="1">
      <c r="B754">
        <f t="shared" ca="1" si="55"/>
        <v>0</v>
      </c>
      <c r="C754" t="s">
        <v>36</v>
      </c>
      <c r="G754" s="75">
        <v>1</v>
      </c>
      <c r="J754" s="66" t="str">
        <f t="shared" ca="1" si="56"/>
        <v>14%</v>
      </c>
      <c r="K754" t="s">
        <v>59</v>
      </c>
      <c r="L754" s="66" t="str">
        <f t="shared" ca="1" si="57"/>
        <v>Sin costo</v>
      </c>
      <c r="M754" t="s">
        <v>64</v>
      </c>
      <c r="N754" t="s">
        <v>66</v>
      </c>
      <c r="O754" t="s">
        <v>66</v>
      </c>
      <c r="P754" t="s">
        <v>66</v>
      </c>
      <c r="R754" t="s">
        <v>66</v>
      </c>
      <c r="U754" t="s">
        <v>90</v>
      </c>
      <c r="V754" t="s">
        <v>66</v>
      </c>
      <c r="W754" t="s">
        <v>66</v>
      </c>
      <c r="X754" t="s">
        <v>66</v>
      </c>
      <c r="Y754" t="s">
        <v>66</v>
      </c>
      <c r="Z754" s="99" t="str">
        <f t="shared" ca="1" si="58"/>
        <v/>
      </c>
      <c r="AA754" s="101" t="str">
        <f t="shared" ca="1" si="59"/>
        <v/>
      </c>
    </row>
    <row r="755" spans="2:27" ht="27.6" customHeight="1">
      <c r="B755">
        <f t="shared" ca="1" si="55"/>
        <v>0</v>
      </c>
      <c r="C755" t="s">
        <v>36</v>
      </c>
      <c r="G755" s="75">
        <v>1</v>
      </c>
      <c r="J755" s="66" t="str">
        <f t="shared" ca="1" si="56"/>
        <v>14%</v>
      </c>
      <c r="K755" t="s">
        <v>59</v>
      </c>
      <c r="L755" s="66" t="str">
        <f t="shared" ca="1" si="57"/>
        <v>Sin costo</v>
      </c>
      <c r="M755" t="s">
        <v>64</v>
      </c>
      <c r="N755" t="s">
        <v>66</v>
      </c>
      <c r="O755" t="s">
        <v>66</v>
      </c>
      <c r="P755" t="s">
        <v>66</v>
      </c>
      <c r="R755" t="s">
        <v>66</v>
      </c>
      <c r="U755" t="s">
        <v>90</v>
      </c>
      <c r="V755" t="s">
        <v>66</v>
      </c>
      <c r="W755" t="s">
        <v>66</v>
      </c>
      <c r="X755" t="s">
        <v>66</v>
      </c>
      <c r="Y755" t="s">
        <v>66</v>
      </c>
      <c r="Z755" s="99" t="str">
        <f t="shared" ca="1" si="58"/>
        <v/>
      </c>
      <c r="AA755" s="101" t="str">
        <f t="shared" ca="1" si="59"/>
        <v/>
      </c>
    </row>
    <row r="756" spans="2:27" ht="27.6" customHeight="1">
      <c r="B756">
        <f t="shared" ca="1" si="55"/>
        <v>0</v>
      </c>
      <c r="C756" t="s">
        <v>36</v>
      </c>
      <c r="G756" s="75">
        <v>1</v>
      </c>
      <c r="J756" s="66" t="str">
        <f t="shared" ca="1" si="56"/>
        <v>14%</v>
      </c>
      <c r="K756" t="s">
        <v>59</v>
      </c>
      <c r="L756" s="66" t="str">
        <f t="shared" ca="1" si="57"/>
        <v>Sin costo</v>
      </c>
      <c r="M756" t="s">
        <v>64</v>
      </c>
      <c r="N756" t="s">
        <v>66</v>
      </c>
      <c r="O756" t="s">
        <v>66</v>
      </c>
      <c r="P756" t="s">
        <v>66</v>
      </c>
      <c r="R756" t="s">
        <v>66</v>
      </c>
      <c r="U756" t="s">
        <v>90</v>
      </c>
      <c r="V756" t="s">
        <v>66</v>
      </c>
      <c r="W756" t="s">
        <v>66</v>
      </c>
      <c r="X756" t="s">
        <v>66</v>
      </c>
      <c r="Y756" t="s">
        <v>66</v>
      </c>
      <c r="Z756" s="99" t="str">
        <f t="shared" ca="1" si="58"/>
        <v/>
      </c>
      <c r="AA756" s="101" t="str">
        <f t="shared" ca="1" si="59"/>
        <v/>
      </c>
    </row>
    <row r="757" spans="2:27" ht="27.6" customHeight="1">
      <c r="B757">
        <f t="shared" ca="1" si="55"/>
        <v>0</v>
      </c>
      <c r="C757" t="s">
        <v>36</v>
      </c>
      <c r="G757" s="75">
        <v>1</v>
      </c>
      <c r="J757" s="66" t="str">
        <f t="shared" ca="1" si="56"/>
        <v>14%</v>
      </c>
      <c r="K757" t="s">
        <v>59</v>
      </c>
      <c r="L757" s="66" t="str">
        <f t="shared" ca="1" si="57"/>
        <v>Sin costo</v>
      </c>
      <c r="M757" t="s">
        <v>64</v>
      </c>
      <c r="N757" t="s">
        <v>66</v>
      </c>
      <c r="O757" t="s">
        <v>66</v>
      </c>
      <c r="P757" t="s">
        <v>66</v>
      </c>
      <c r="R757" t="s">
        <v>66</v>
      </c>
      <c r="U757" t="s">
        <v>90</v>
      </c>
      <c r="V757" t="s">
        <v>66</v>
      </c>
      <c r="W757" t="s">
        <v>66</v>
      </c>
      <c r="X757" t="s">
        <v>66</v>
      </c>
      <c r="Y757" t="s">
        <v>66</v>
      </c>
      <c r="Z757" s="99" t="str">
        <f t="shared" ca="1" si="58"/>
        <v/>
      </c>
      <c r="AA757" s="101" t="str">
        <f t="shared" ca="1" si="59"/>
        <v/>
      </c>
    </row>
    <row r="758" spans="2:27" ht="27.6" customHeight="1">
      <c r="B758">
        <f t="shared" ca="1" si="55"/>
        <v>0</v>
      </c>
      <c r="C758" t="s">
        <v>36</v>
      </c>
      <c r="G758" s="75">
        <v>1</v>
      </c>
      <c r="J758" s="66" t="str">
        <f t="shared" ca="1" si="56"/>
        <v>14%</v>
      </c>
      <c r="K758" t="s">
        <v>59</v>
      </c>
      <c r="L758" s="66" t="str">
        <f t="shared" ca="1" si="57"/>
        <v>Sin costo</v>
      </c>
      <c r="M758" t="s">
        <v>64</v>
      </c>
      <c r="N758" t="s">
        <v>66</v>
      </c>
      <c r="O758" t="s">
        <v>66</v>
      </c>
      <c r="P758" t="s">
        <v>66</v>
      </c>
      <c r="R758" t="s">
        <v>66</v>
      </c>
      <c r="U758" t="s">
        <v>90</v>
      </c>
      <c r="V758" t="s">
        <v>66</v>
      </c>
      <c r="W758" t="s">
        <v>66</v>
      </c>
      <c r="X758" t="s">
        <v>66</v>
      </c>
      <c r="Y758" t="s">
        <v>66</v>
      </c>
      <c r="Z758" s="99" t="str">
        <f t="shared" ca="1" si="58"/>
        <v/>
      </c>
      <c r="AA758" s="101" t="str">
        <f t="shared" ca="1" si="59"/>
        <v/>
      </c>
    </row>
    <row r="759" spans="2:27" ht="27.6" customHeight="1">
      <c r="B759">
        <f t="shared" ca="1" si="55"/>
        <v>0</v>
      </c>
      <c r="C759" t="s">
        <v>36</v>
      </c>
      <c r="G759" s="75">
        <v>1</v>
      </c>
      <c r="J759" s="66" t="str">
        <f t="shared" ca="1" si="56"/>
        <v>14%</v>
      </c>
      <c r="K759" t="s">
        <v>59</v>
      </c>
      <c r="L759" s="66" t="str">
        <f t="shared" ca="1" si="57"/>
        <v>Sin costo</v>
      </c>
      <c r="M759" t="s">
        <v>64</v>
      </c>
      <c r="N759" t="s">
        <v>66</v>
      </c>
      <c r="O759" t="s">
        <v>66</v>
      </c>
      <c r="P759" t="s">
        <v>66</v>
      </c>
      <c r="R759" t="s">
        <v>66</v>
      </c>
      <c r="U759" t="s">
        <v>90</v>
      </c>
      <c r="V759" t="s">
        <v>66</v>
      </c>
      <c r="W759" t="s">
        <v>66</v>
      </c>
      <c r="X759" t="s">
        <v>66</v>
      </c>
      <c r="Y759" t="s">
        <v>66</v>
      </c>
      <c r="Z759" s="99" t="str">
        <f t="shared" ca="1" si="58"/>
        <v/>
      </c>
      <c r="AA759" s="101" t="str">
        <f t="shared" ca="1" si="59"/>
        <v/>
      </c>
    </row>
    <row r="760" spans="2:27" ht="27.6" customHeight="1">
      <c r="B760">
        <f t="shared" ca="1" si="55"/>
        <v>0</v>
      </c>
      <c r="C760" t="s">
        <v>36</v>
      </c>
      <c r="G760" s="75">
        <v>1</v>
      </c>
      <c r="J760" s="66" t="str">
        <f t="shared" ca="1" si="56"/>
        <v>14%</v>
      </c>
      <c r="K760" t="s">
        <v>59</v>
      </c>
      <c r="L760" s="66" t="str">
        <f t="shared" ca="1" si="57"/>
        <v>Sin costo</v>
      </c>
      <c r="M760" t="s">
        <v>64</v>
      </c>
      <c r="N760" t="s">
        <v>66</v>
      </c>
      <c r="O760" t="s">
        <v>66</v>
      </c>
      <c r="P760" t="s">
        <v>66</v>
      </c>
      <c r="R760" t="s">
        <v>66</v>
      </c>
      <c r="U760" t="s">
        <v>90</v>
      </c>
      <c r="V760" t="s">
        <v>66</v>
      </c>
      <c r="W760" t="s">
        <v>66</v>
      </c>
      <c r="X760" t="s">
        <v>66</v>
      </c>
      <c r="Y760" t="s">
        <v>66</v>
      </c>
      <c r="Z760" s="99" t="str">
        <f t="shared" ca="1" si="58"/>
        <v/>
      </c>
      <c r="AA760" s="101" t="str">
        <f t="shared" ca="1" si="59"/>
        <v/>
      </c>
    </row>
    <row r="761" spans="2:27" ht="27.6" customHeight="1">
      <c r="B761">
        <f t="shared" ca="1" si="55"/>
        <v>0</v>
      </c>
      <c r="C761" t="s">
        <v>36</v>
      </c>
      <c r="G761" s="75">
        <v>1</v>
      </c>
      <c r="J761" s="66" t="str">
        <f t="shared" ca="1" si="56"/>
        <v>14%</v>
      </c>
      <c r="K761" t="s">
        <v>59</v>
      </c>
      <c r="L761" s="66" t="str">
        <f t="shared" ca="1" si="57"/>
        <v>Sin costo</v>
      </c>
      <c r="M761" t="s">
        <v>64</v>
      </c>
      <c r="N761" t="s">
        <v>66</v>
      </c>
      <c r="O761" t="s">
        <v>66</v>
      </c>
      <c r="P761" t="s">
        <v>66</v>
      </c>
      <c r="R761" t="s">
        <v>66</v>
      </c>
      <c r="U761" t="s">
        <v>90</v>
      </c>
      <c r="V761" t="s">
        <v>66</v>
      </c>
      <c r="W761" t="s">
        <v>66</v>
      </c>
      <c r="X761" t="s">
        <v>66</v>
      </c>
      <c r="Y761" t="s">
        <v>66</v>
      </c>
      <c r="Z761" s="99" t="str">
        <f t="shared" ca="1" si="58"/>
        <v/>
      </c>
      <c r="AA761" s="101" t="str">
        <f t="shared" ca="1" si="59"/>
        <v/>
      </c>
    </row>
    <row r="762" spans="2:27" ht="27.6" customHeight="1">
      <c r="B762">
        <f t="shared" ca="1" si="55"/>
        <v>0</v>
      </c>
      <c r="C762" t="s">
        <v>36</v>
      </c>
      <c r="G762" s="75">
        <v>1</v>
      </c>
      <c r="J762" s="66" t="str">
        <f t="shared" ca="1" si="56"/>
        <v>14%</v>
      </c>
      <c r="K762" t="s">
        <v>59</v>
      </c>
      <c r="L762" s="66" t="str">
        <f t="shared" ca="1" si="57"/>
        <v>Sin costo</v>
      </c>
      <c r="M762" t="s">
        <v>64</v>
      </c>
      <c r="N762" t="s">
        <v>66</v>
      </c>
      <c r="O762" t="s">
        <v>66</v>
      </c>
      <c r="P762" t="s">
        <v>66</v>
      </c>
      <c r="R762" t="s">
        <v>66</v>
      </c>
      <c r="U762" t="s">
        <v>90</v>
      </c>
      <c r="V762" t="s">
        <v>66</v>
      </c>
      <c r="W762" t="s">
        <v>66</v>
      </c>
      <c r="X762" t="s">
        <v>66</v>
      </c>
      <c r="Y762" t="s">
        <v>66</v>
      </c>
      <c r="Z762" s="99" t="str">
        <f t="shared" ca="1" si="58"/>
        <v/>
      </c>
      <c r="AA762" s="101" t="str">
        <f t="shared" ca="1" si="59"/>
        <v/>
      </c>
    </row>
    <row r="763" spans="2:27" ht="27.6" customHeight="1">
      <c r="B763">
        <f t="shared" ca="1" si="55"/>
        <v>0</v>
      </c>
      <c r="C763" t="s">
        <v>36</v>
      </c>
      <c r="G763" s="75">
        <v>1</v>
      </c>
      <c r="J763" s="66" t="str">
        <f t="shared" ca="1" si="56"/>
        <v>14%</v>
      </c>
      <c r="K763" t="s">
        <v>59</v>
      </c>
      <c r="L763" s="66" t="str">
        <f t="shared" ca="1" si="57"/>
        <v>Sin costo</v>
      </c>
      <c r="M763" t="s">
        <v>64</v>
      </c>
      <c r="N763" t="s">
        <v>66</v>
      </c>
      <c r="O763" t="s">
        <v>66</v>
      </c>
      <c r="P763" t="s">
        <v>66</v>
      </c>
      <c r="R763" t="s">
        <v>66</v>
      </c>
      <c r="U763" t="s">
        <v>90</v>
      </c>
      <c r="V763" t="s">
        <v>66</v>
      </c>
      <c r="W763" t="s">
        <v>66</v>
      </c>
      <c r="X763" t="s">
        <v>66</v>
      </c>
      <c r="Y763" t="s">
        <v>66</v>
      </c>
      <c r="Z763" s="99" t="str">
        <f t="shared" ca="1" si="58"/>
        <v/>
      </c>
      <c r="AA763" s="101" t="str">
        <f t="shared" ca="1" si="59"/>
        <v/>
      </c>
    </row>
    <row r="764" spans="2:27" ht="27.6" customHeight="1">
      <c r="B764">
        <f t="shared" ca="1" si="55"/>
        <v>0</v>
      </c>
      <c r="C764" t="s">
        <v>36</v>
      </c>
      <c r="G764" s="75">
        <v>1</v>
      </c>
      <c r="J764" s="66" t="str">
        <f t="shared" ca="1" si="56"/>
        <v>14%</v>
      </c>
      <c r="K764" t="s">
        <v>59</v>
      </c>
      <c r="L764" s="66" t="str">
        <f t="shared" ca="1" si="57"/>
        <v>Sin costo</v>
      </c>
      <c r="M764" t="s">
        <v>64</v>
      </c>
      <c r="N764" t="s">
        <v>66</v>
      </c>
      <c r="O764" t="s">
        <v>66</v>
      </c>
      <c r="P764" t="s">
        <v>66</v>
      </c>
      <c r="R764" t="s">
        <v>66</v>
      </c>
      <c r="U764" t="s">
        <v>90</v>
      </c>
      <c r="V764" t="s">
        <v>66</v>
      </c>
      <c r="W764" t="s">
        <v>66</v>
      </c>
      <c r="X764" t="s">
        <v>66</v>
      </c>
      <c r="Y764" t="s">
        <v>66</v>
      </c>
      <c r="Z764" s="99" t="str">
        <f t="shared" ca="1" si="58"/>
        <v/>
      </c>
      <c r="AA764" s="101" t="str">
        <f t="shared" ca="1" si="59"/>
        <v/>
      </c>
    </row>
    <row r="765" spans="2:27" ht="27.6" customHeight="1">
      <c r="B765">
        <f t="shared" ca="1" si="55"/>
        <v>0</v>
      </c>
      <c r="C765" t="s">
        <v>36</v>
      </c>
      <c r="G765" s="75">
        <v>1</v>
      </c>
      <c r="J765" s="66" t="str">
        <f t="shared" ca="1" si="56"/>
        <v>14%</v>
      </c>
      <c r="K765" t="s">
        <v>59</v>
      </c>
      <c r="L765" s="66" t="str">
        <f t="shared" ca="1" si="57"/>
        <v>Sin costo</v>
      </c>
      <c r="M765" t="s">
        <v>64</v>
      </c>
      <c r="N765" t="s">
        <v>66</v>
      </c>
      <c r="O765" t="s">
        <v>66</v>
      </c>
      <c r="P765" t="s">
        <v>66</v>
      </c>
      <c r="R765" t="s">
        <v>66</v>
      </c>
      <c r="U765" t="s">
        <v>90</v>
      </c>
      <c r="V765" t="s">
        <v>66</v>
      </c>
      <c r="W765" t="s">
        <v>66</v>
      </c>
      <c r="X765" t="s">
        <v>66</v>
      </c>
      <c r="Y765" t="s">
        <v>66</v>
      </c>
      <c r="Z765" s="99" t="str">
        <f t="shared" ca="1" si="58"/>
        <v/>
      </c>
      <c r="AA765" s="101" t="str">
        <f t="shared" ca="1" si="59"/>
        <v/>
      </c>
    </row>
    <row r="766" spans="2:27" ht="27.6" customHeight="1">
      <c r="B766">
        <f t="shared" ca="1" si="55"/>
        <v>0</v>
      </c>
      <c r="C766" t="s">
        <v>36</v>
      </c>
      <c r="G766" s="75">
        <v>1</v>
      </c>
      <c r="J766" s="66" t="str">
        <f t="shared" ca="1" si="56"/>
        <v>14%</v>
      </c>
      <c r="K766" t="s">
        <v>59</v>
      </c>
      <c r="L766" s="66" t="str">
        <f t="shared" ca="1" si="57"/>
        <v>Sin costo</v>
      </c>
      <c r="M766" t="s">
        <v>64</v>
      </c>
      <c r="N766" t="s">
        <v>66</v>
      </c>
      <c r="O766" t="s">
        <v>66</v>
      </c>
      <c r="P766" t="s">
        <v>66</v>
      </c>
      <c r="R766" t="s">
        <v>66</v>
      </c>
      <c r="U766" t="s">
        <v>90</v>
      </c>
      <c r="V766" t="s">
        <v>66</v>
      </c>
      <c r="W766" t="s">
        <v>66</v>
      </c>
      <c r="X766" t="s">
        <v>66</v>
      </c>
      <c r="Y766" t="s">
        <v>66</v>
      </c>
      <c r="Z766" s="99" t="str">
        <f t="shared" ca="1" si="58"/>
        <v/>
      </c>
      <c r="AA766" s="101" t="str">
        <f t="shared" ca="1" si="59"/>
        <v/>
      </c>
    </row>
    <row r="767" spans="2:27" ht="27.6" customHeight="1">
      <c r="B767">
        <f t="shared" ca="1" si="55"/>
        <v>0</v>
      </c>
      <c r="C767" t="s">
        <v>36</v>
      </c>
      <c r="G767" s="75">
        <v>1</v>
      </c>
      <c r="J767" s="66" t="str">
        <f t="shared" ca="1" si="56"/>
        <v>14%</v>
      </c>
      <c r="K767" t="s">
        <v>59</v>
      </c>
      <c r="L767" s="66" t="str">
        <f t="shared" ca="1" si="57"/>
        <v>Sin costo</v>
      </c>
      <c r="M767" t="s">
        <v>64</v>
      </c>
      <c r="N767" t="s">
        <v>66</v>
      </c>
      <c r="O767" t="s">
        <v>66</v>
      </c>
      <c r="P767" t="s">
        <v>66</v>
      </c>
      <c r="R767" t="s">
        <v>66</v>
      </c>
      <c r="U767" t="s">
        <v>90</v>
      </c>
      <c r="V767" t="s">
        <v>66</v>
      </c>
      <c r="W767" t="s">
        <v>66</v>
      </c>
      <c r="X767" t="s">
        <v>66</v>
      </c>
      <c r="Y767" t="s">
        <v>66</v>
      </c>
      <c r="Z767" s="99" t="str">
        <f t="shared" ca="1" si="58"/>
        <v/>
      </c>
      <c r="AA767" s="101" t="str">
        <f t="shared" ca="1" si="59"/>
        <v/>
      </c>
    </row>
    <row r="768" spans="2:27" ht="27.6" customHeight="1">
      <c r="B768">
        <f t="shared" ca="1" si="55"/>
        <v>0</v>
      </c>
      <c r="C768" t="s">
        <v>36</v>
      </c>
      <c r="G768" s="75">
        <v>1</v>
      </c>
      <c r="J768" s="66" t="str">
        <f t="shared" ca="1" si="56"/>
        <v>14%</v>
      </c>
      <c r="K768" t="s">
        <v>59</v>
      </c>
      <c r="L768" s="66" t="str">
        <f t="shared" ca="1" si="57"/>
        <v>Sin costo</v>
      </c>
      <c r="M768" t="s">
        <v>64</v>
      </c>
      <c r="N768" t="s">
        <v>66</v>
      </c>
      <c r="O768" t="s">
        <v>66</v>
      </c>
      <c r="P768" t="s">
        <v>66</v>
      </c>
      <c r="R768" t="s">
        <v>66</v>
      </c>
      <c r="U768" t="s">
        <v>90</v>
      </c>
      <c r="V768" t="s">
        <v>66</v>
      </c>
      <c r="W768" t="s">
        <v>66</v>
      </c>
      <c r="X768" t="s">
        <v>66</v>
      </c>
      <c r="Y768" t="s">
        <v>66</v>
      </c>
      <c r="Z768" s="99" t="str">
        <f t="shared" ca="1" si="58"/>
        <v/>
      </c>
      <c r="AA768" s="101" t="str">
        <f t="shared" ca="1" si="59"/>
        <v/>
      </c>
    </row>
    <row r="769" spans="2:27" ht="27.6" customHeight="1">
      <c r="B769">
        <f t="shared" ca="1" si="55"/>
        <v>0</v>
      </c>
      <c r="C769" t="s">
        <v>36</v>
      </c>
      <c r="G769" s="75">
        <v>1</v>
      </c>
      <c r="J769" s="66" t="str">
        <f t="shared" ca="1" si="56"/>
        <v>14%</v>
      </c>
      <c r="K769" t="s">
        <v>59</v>
      </c>
      <c r="L769" s="66" t="str">
        <f t="shared" ca="1" si="57"/>
        <v>Sin costo</v>
      </c>
      <c r="M769" t="s">
        <v>64</v>
      </c>
      <c r="N769" t="s">
        <v>66</v>
      </c>
      <c r="O769" t="s">
        <v>66</v>
      </c>
      <c r="P769" t="s">
        <v>66</v>
      </c>
      <c r="R769" t="s">
        <v>66</v>
      </c>
      <c r="U769" t="s">
        <v>90</v>
      </c>
      <c r="V769" t="s">
        <v>66</v>
      </c>
      <c r="W769" t="s">
        <v>66</v>
      </c>
      <c r="X769" t="s">
        <v>66</v>
      </c>
      <c r="Y769" t="s">
        <v>66</v>
      </c>
      <c r="Z769" s="99" t="str">
        <f t="shared" ca="1" si="58"/>
        <v/>
      </c>
      <c r="AA769" s="101" t="str">
        <f t="shared" ca="1" si="59"/>
        <v/>
      </c>
    </row>
    <row r="770" spans="2:27" ht="27.6" customHeight="1">
      <c r="B770">
        <f t="shared" ca="1" si="55"/>
        <v>0</v>
      </c>
      <c r="C770" t="s">
        <v>36</v>
      </c>
      <c r="G770" s="75">
        <v>1</v>
      </c>
      <c r="J770" s="66" t="str">
        <f t="shared" ca="1" si="56"/>
        <v>14%</v>
      </c>
      <c r="K770" t="s">
        <v>59</v>
      </c>
      <c r="L770" s="66" t="str">
        <f t="shared" ca="1" si="57"/>
        <v>Sin costo</v>
      </c>
      <c r="M770" t="s">
        <v>64</v>
      </c>
      <c r="N770" t="s">
        <v>66</v>
      </c>
      <c r="O770" t="s">
        <v>66</v>
      </c>
      <c r="P770" t="s">
        <v>66</v>
      </c>
      <c r="R770" t="s">
        <v>66</v>
      </c>
      <c r="U770" t="s">
        <v>90</v>
      </c>
      <c r="V770" t="s">
        <v>66</v>
      </c>
      <c r="W770" t="s">
        <v>66</v>
      </c>
      <c r="X770" t="s">
        <v>66</v>
      </c>
      <c r="Y770" t="s">
        <v>66</v>
      </c>
      <c r="Z770" s="99" t="str">
        <f t="shared" ca="1" si="58"/>
        <v/>
      </c>
      <c r="AA770" s="101" t="str">
        <f t="shared" ca="1" si="59"/>
        <v/>
      </c>
    </row>
    <row r="771" spans="2:27" ht="27.6" customHeight="1">
      <c r="B771">
        <f t="shared" ca="1" si="55"/>
        <v>0</v>
      </c>
      <c r="C771" t="s">
        <v>36</v>
      </c>
      <c r="G771" s="75">
        <v>1</v>
      </c>
      <c r="J771" s="66" t="str">
        <f t="shared" ca="1" si="56"/>
        <v>14%</v>
      </c>
      <c r="K771" t="s">
        <v>59</v>
      </c>
      <c r="L771" s="66" t="str">
        <f t="shared" ca="1" si="57"/>
        <v>Sin costo</v>
      </c>
      <c r="M771" t="s">
        <v>64</v>
      </c>
      <c r="N771" t="s">
        <v>66</v>
      </c>
      <c r="O771" t="s">
        <v>66</v>
      </c>
      <c r="P771" t="s">
        <v>66</v>
      </c>
      <c r="R771" t="s">
        <v>66</v>
      </c>
      <c r="U771" t="s">
        <v>90</v>
      </c>
      <c r="V771" t="s">
        <v>66</v>
      </c>
      <c r="W771" t="s">
        <v>66</v>
      </c>
      <c r="X771" t="s">
        <v>66</v>
      </c>
      <c r="Y771" t="s">
        <v>66</v>
      </c>
      <c r="Z771" s="99" t="str">
        <f t="shared" ca="1" si="58"/>
        <v/>
      </c>
      <c r="AA771" s="101" t="str">
        <f t="shared" ca="1" si="59"/>
        <v/>
      </c>
    </row>
    <row r="772" spans="2:27" ht="27.6" customHeight="1">
      <c r="B772">
        <f t="shared" ca="1" si="55"/>
        <v>0</v>
      </c>
      <c r="C772" t="s">
        <v>36</v>
      </c>
      <c r="G772" s="75">
        <v>1</v>
      </c>
      <c r="J772" s="66" t="str">
        <f t="shared" ca="1" si="56"/>
        <v>14%</v>
      </c>
      <c r="K772" t="s">
        <v>59</v>
      </c>
      <c r="L772" s="66" t="str">
        <f t="shared" ca="1" si="57"/>
        <v>Sin costo</v>
      </c>
      <c r="M772" t="s">
        <v>64</v>
      </c>
      <c r="N772" t="s">
        <v>66</v>
      </c>
      <c r="O772" t="s">
        <v>66</v>
      </c>
      <c r="P772" t="s">
        <v>66</v>
      </c>
      <c r="R772" t="s">
        <v>66</v>
      </c>
      <c r="U772" t="s">
        <v>90</v>
      </c>
      <c r="V772" t="s">
        <v>66</v>
      </c>
      <c r="W772" t="s">
        <v>66</v>
      </c>
      <c r="X772" t="s">
        <v>66</v>
      </c>
      <c r="Y772" t="s">
        <v>66</v>
      </c>
      <c r="Z772" s="99" t="str">
        <f t="shared" ca="1" si="58"/>
        <v/>
      </c>
      <c r="AA772" s="101" t="str">
        <f t="shared" ca="1" si="59"/>
        <v/>
      </c>
    </row>
    <row r="773" spans="2:27" ht="27.6" customHeight="1">
      <c r="B773">
        <f t="shared" ca="1" si="55"/>
        <v>0</v>
      </c>
      <c r="C773" t="s">
        <v>36</v>
      </c>
      <c r="G773" s="75">
        <v>1</v>
      </c>
      <c r="J773" s="66" t="str">
        <f t="shared" ca="1" si="56"/>
        <v>14%</v>
      </c>
      <c r="K773" t="s">
        <v>59</v>
      </c>
      <c r="L773" s="66" t="str">
        <f t="shared" ca="1" si="57"/>
        <v>Sin costo</v>
      </c>
      <c r="M773" t="s">
        <v>64</v>
      </c>
      <c r="N773" t="s">
        <v>66</v>
      </c>
      <c r="O773" t="s">
        <v>66</v>
      </c>
      <c r="P773" t="s">
        <v>66</v>
      </c>
      <c r="R773" t="s">
        <v>66</v>
      </c>
      <c r="U773" t="s">
        <v>90</v>
      </c>
      <c r="V773" t="s">
        <v>66</v>
      </c>
      <c r="W773" t="s">
        <v>66</v>
      </c>
      <c r="X773" t="s">
        <v>66</v>
      </c>
      <c r="Y773" t="s">
        <v>66</v>
      </c>
      <c r="Z773" s="99" t="str">
        <f t="shared" ca="1" si="58"/>
        <v/>
      </c>
      <c r="AA773" s="101" t="str">
        <f t="shared" ca="1" si="59"/>
        <v/>
      </c>
    </row>
    <row r="774" spans="2:27" ht="27.6" customHeight="1">
      <c r="B774">
        <f t="shared" ca="1" si="55"/>
        <v>0</v>
      </c>
      <c r="C774" t="s">
        <v>36</v>
      </c>
      <c r="G774" s="75">
        <v>1</v>
      </c>
      <c r="J774" s="66" t="str">
        <f t="shared" ca="1" si="56"/>
        <v>14%</v>
      </c>
      <c r="K774" t="s">
        <v>59</v>
      </c>
      <c r="L774" s="66" t="str">
        <f t="shared" ca="1" si="57"/>
        <v>Sin costo</v>
      </c>
      <c r="M774" t="s">
        <v>64</v>
      </c>
      <c r="N774" t="s">
        <v>66</v>
      </c>
      <c r="O774" t="s">
        <v>66</v>
      </c>
      <c r="P774" t="s">
        <v>66</v>
      </c>
      <c r="R774" t="s">
        <v>66</v>
      </c>
      <c r="U774" t="s">
        <v>90</v>
      </c>
      <c r="V774" t="s">
        <v>66</v>
      </c>
      <c r="W774" t="s">
        <v>66</v>
      </c>
      <c r="X774" t="s">
        <v>66</v>
      </c>
      <c r="Y774" t="s">
        <v>66</v>
      </c>
      <c r="Z774" s="99" t="str">
        <f t="shared" ca="1" si="58"/>
        <v/>
      </c>
      <c r="AA774" s="101" t="str">
        <f t="shared" ca="1" si="59"/>
        <v/>
      </c>
    </row>
    <row r="775" spans="2:27" ht="27.6" customHeight="1">
      <c r="B775">
        <f t="shared" ref="B775:B838" ca="1" si="60">LEN(INDIRECT(ADDRESS(ROW() + (0),COLUMN() + (-1))))</f>
        <v>0</v>
      </c>
      <c r="C775" t="s">
        <v>36</v>
      </c>
      <c r="G775" s="75">
        <v>1</v>
      </c>
      <c r="J775" s="66" t="str">
        <f t="shared" ref="J775:J838" ca="1" si="61">IF(INDIRECT(ADDRESS(ROW() + (0),COLUMN() + (1)))="Agregar cuotas", IF(("14%")="", "-", "14%"), IF(INDIRECT(ADDRESS(ROW() + (0),COLUMN() + (1)))="No agregar cuotas", IF(("14%")="", "-", "14%"), "-"))</f>
        <v>14%</v>
      </c>
      <c r="K775" t="s">
        <v>59</v>
      </c>
      <c r="L775" s="66" t="str">
        <f t="shared" ref="L775:L838" ca="1" si="62">IF(INDIRECT(ADDRESS(ROW() + (0),COLUMN() + (-1)))="Agregar cuotas", IF(("13.9%")="", "Sin costo", "13.9%"), IF(INDIRECT(ADDRESS(ROW() + (0),COLUMN() + (-1)))="No agregar cuotas", IF(("")="", "Sin costo", ""), "-"))</f>
        <v>Sin costo</v>
      </c>
      <c r="M775" t="s">
        <v>64</v>
      </c>
      <c r="N775" t="s">
        <v>66</v>
      </c>
      <c r="O775" t="s">
        <v>66</v>
      </c>
      <c r="P775" t="s">
        <v>66</v>
      </c>
      <c r="R775" t="s">
        <v>66</v>
      </c>
      <c r="U775" t="s">
        <v>90</v>
      </c>
      <c r="V775" t="s">
        <v>66</v>
      </c>
      <c r="W775" t="s">
        <v>66</v>
      </c>
      <c r="X775" t="s">
        <v>66</v>
      </c>
      <c r="Y775" t="s">
        <v>66</v>
      </c>
      <c r="Z775" s="99" t="str">
        <f t="shared" ref="Z775:Z838" ca="1" si="6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775" s="101" t="str">
        <f t="shared" ref="AA775:AA838" ca="1" si="64">IF(TRIM(INDIRECT("A"&amp;ROW())) &lt;&gt; "",FALSE,"")</f>
        <v/>
      </c>
    </row>
    <row r="776" spans="2:27" ht="27.6" customHeight="1">
      <c r="B776">
        <f t="shared" ca="1" si="60"/>
        <v>0</v>
      </c>
      <c r="C776" t="s">
        <v>36</v>
      </c>
      <c r="G776" s="75">
        <v>1</v>
      </c>
      <c r="J776" s="66" t="str">
        <f t="shared" ca="1" si="61"/>
        <v>14%</v>
      </c>
      <c r="K776" t="s">
        <v>59</v>
      </c>
      <c r="L776" s="66" t="str">
        <f t="shared" ca="1" si="62"/>
        <v>Sin costo</v>
      </c>
      <c r="M776" t="s">
        <v>64</v>
      </c>
      <c r="N776" t="s">
        <v>66</v>
      </c>
      <c r="O776" t="s">
        <v>66</v>
      </c>
      <c r="P776" t="s">
        <v>66</v>
      </c>
      <c r="R776" t="s">
        <v>66</v>
      </c>
      <c r="U776" t="s">
        <v>90</v>
      </c>
      <c r="V776" t="s">
        <v>66</v>
      </c>
      <c r="W776" t="s">
        <v>66</v>
      </c>
      <c r="X776" t="s">
        <v>66</v>
      </c>
      <c r="Y776" t="s">
        <v>66</v>
      </c>
      <c r="Z776" s="99" t="str">
        <f t="shared" ca="1" si="63"/>
        <v/>
      </c>
      <c r="AA776" s="101" t="str">
        <f t="shared" ca="1" si="64"/>
        <v/>
      </c>
    </row>
    <row r="777" spans="2:27" ht="27.6" customHeight="1">
      <c r="B777">
        <f t="shared" ca="1" si="60"/>
        <v>0</v>
      </c>
      <c r="C777" t="s">
        <v>36</v>
      </c>
      <c r="G777" s="75">
        <v>1</v>
      </c>
      <c r="J777" s="66" t="str">
        <f t="shared" ca="1" si="61"/>
        <v>14%</v>
      </c>
      <c r="K777" t="s">
        <v>59</v>
      </c>
      <c r="L777" s="66" t="str">
        <f t="shared" ca="1" si="62"/>
        <v>Sin costo</v>
      </c>
      <c r="M777" t="s">
        <v>64</v>
      </c>
      <c r="N777" t="s">
        <v>66</v>
      </c>
      <c r="O777" t="s">
        <v>66</v>
      </c>
      <c r="P777" t="s">
        <v>66</v>
      </c>
      <c r="R777" t="s">
        <v>66</v>
      </c>
      <c r="U777" t="s">
        <v>90</v>
      </c>
      <c r="V777" t="s">
        <v>66</v>
      </c>
      <c r="W777" t="s">
        <v>66</v>
      </c>
      <c r="X777" t="s">
        <v>66</v>
      </c>
      <c r="Y777" t="s">
        <v>66</v>
      </c>
      <c r="Z777" s="99" t="str">
        <f t="shared" ca="1" si="63"/>
        <v/>
      </c>
      <c r="AA777" s="101" t="str">
        <f t="shared" ca="1" si="64"/>
        <v/>
      </c>
    </row>
    <row r="778" spans="2:27" ht="27.6" customHeight="1">
      <c r="B778">
        <f t="shared" ca="1" si="60"/>
        <v>0</v>
      </c>
      <c r="C778" t="s">
        <v>36</v>
      </c>
      <c r="G778" s="75">
        <v>1</v>
      </c>
      <c r="J778" s="66" t="str">
        <f t="shared" ca="1" si="61"/>
        <v>14%</v>
      </c>
      <c r="K778" t="s">
        <v>59</v>
      </c>
      <c r="L778" s="66" t="str">
        <f t="shared" ca="1" si="62"/>
        <v>Sin costo</v>
      </c>
      <c r="M778" t="s">
        <v>64</v>
      </c>
      <c r="N778" t="s">
        <v>66</v>
      </c>
      <c r="O778" t="s">
        <v>66</v>
      </c>
      <c r="P778" t="s">
        <v>66</v>
      </c>
      <c r="R778" t="s">
        <v>66</v>
      </c>
      <c r="U778" t="s">
        <v>90</v>
      </c>
      <c r="V778" t="s">
        <v>66</v>
      </c>
      <c r="W778" t="s">
        <v>66</v>
      </c>
      <c r="X778" t="s">
        <v>66</v>
      </c>
      <c r="Y778" t="s">
        <v>66</v>
      </c>
      <c r="Z778" s="99" t="str">
        <f t="shared" ca="1" si="63"/>
        <v/>
      </c>
      <c r="AA778" s="101" t="str">
        <f t="shared" ca="1" si="64"/>
        <v/>
      </c>
    </row>
    <row r="779" spans="2:27" ht="27.6" customHeight="1">
      <c r="B779">
        <f t="shared" ca="1" si="60"/>
        <v>0</v>
      </c>
      <c r="C779" t="s">
        <v>36</v>
      </c>
      <c r="G779" s="75">
        <v>1</v>
      </c>
      <c r="J779" s="66" t="str">
        <f t="shared" ca="1" si="61"/>
        <v>14%</v>
      </c>
      <c r="K779" t="s">
        <v>59</v>
      </c>
      <c r="L779" s="66" t="str">
        <f t="shared" ca="1" si="62"/>
        <v>Sin costo</v>
      </c>
      <c r="M779" t="s">
        <v>64</v>
      </c>
      <c r="N779" t="s">
        <v>66</v>
      </c>
      <c r="O779" t="s">
        <v>66</v>
      </c>
      <c r="P779" t="s">
        <v>66</v>
      </c>
      <c r="R779" t="s">
        <v>66</v>
      </c>
      <c r="U779" t="s">
        <v>90</v>
      </c>
      <c r="V779" t="s">
        <v>66</v>
      </c>
      <c r="W779" t="s">
        <v>66</v>
      </c>
      <c r="X779" t="s">
        <v>66</v>
      </c>
      <c r="Y779" t="s">
        <v>66</v>
      </c>
      <c r="Z779" s="99" t="str">
        <f t="shared" ca="1" si="63"/>
        <v/>
      </c>
      <c r="AA779" s="101" t="str">
        <f t="shared" ca="1" si="64"/>
        <v/>
      </c>
    </row>
    <row r="780" spans="2:27" ht="27.6" customHeight="1">
      <c r="B780">
        <f t="shared" ca="1" si="60"/>
        <v>0</v>
      </c>
      <c r="C780" t="s">
        <v>36</v>
      </c>
      <c r="G780" s="75">
        <v>1</v>
      </c>
      <c r="J780" s="66" t="str">
        <f t="shared" ca="1" si="61"/>
        <v>14%</v>
      </c>
      <c r="K780" t="s">
        <v>59</v>
      </c>
      <c r="L780" s="66" t="str">
        <f t="shared" ca="1" si="62"/>
        <v>Sin costo</v>
      </c>
      <c r="M780" t="s">
        <v>64</v>
      </c>
      <c r="N780" t="s">
        <v>66</v>
      </c>
      <c r="O780" t="s">
        <v>66</v>
      </c>
      <c r="P780" t="s">
        <v>66</v>
      </c>
      <c r="R780" t="s">
        <v>66</v>
      </c>
      <c r="U780" t="s">
        <v>90</v>
      </c>
      <c r="V780" t="s">
        <v>66</v>
      </c>
      <c r="W780" t="s">
        <v>66</v>
      </c>
      <c r="X780" t="s">
        <v>66</v>
      </c>
      <c r="Y780" t="s">
        <v>66</v>
      </c>
      <c r="Z780" s="99" t="str">
        <f t="shared" ca="1" si="63"/>
        <v/>
      </c>
      <c r="AA780" s="101" t="str">
        <f t="shared" ca="1" si="64"/>
        <v/>
      </c>
    </row>
    <row r="781" spans="2:27" ht="27.6" customHeight="1">
      <c r="B781">
        <f t="shared" ca="1" si="60"/>
        <v>0</v>
      </c>
      <c r="C781" t="s">
        <v>36</v>
      </c>
      <c r="G781" s="75">
        <v>1</v>
      </c>
      <c r="J781" s="66" t="str">
        <f t="shared" ca="1" si="61"/>
        <v>14%</v>
      </c>
      <c r="K781" t="s">
        <v>59</v>
      </c>
      <c r="L781" s="66" t="str">
        <f t="shared" ca="1" si="62"/>
        <v>Sin costo</v>
      </c>
      <c r="M781" t="s">
        <v>64</v>
      </c>
      <c r="N781" t="s">
        <v>66</v>
      </c>
      <c r="O781" t="s">
        <v>66</v>
      </c>
      <c r="P781" t="s">
        <v>66</v>
      </c>
      <c r="R781" t="s">
        <v>66</v>
      </c>
      <c r="U781" t="s">
        <v>90</v>
      </c>
      <c r="V781" t="s">
        <v>66</v>
      </c>
      <c r="W781" t="s">
        <v>66</v>
      </c>
      <c r="X781" t="s">
        <v>66</v>
      </c>
      <c r="Y781" t="s">
        <v>66</v>
      </c>
      <c r="Z781" s="99" t="str">
        <f t="shared" ca="1" si="63"/>
        <v/>
      </c>
      <c r="AA781" s="101" t="str">
        <f t="shared" ca="1" si="64"/>
        <v/>
      </c>
    </row>
    <row r="782" spans="2:27" ht="27.6" customHeight="1">
      <c r="B782">
        <f t="shared" ca="1" si="60"/>
        <v>0</v>
      </c>
      <c r="C782" t="s">
        <v>36</v>
      </c>
      <c r="G782" s="75">
        <v>1</v>
      </c>
      <c r="J782" s="66" t="str">
        <f t="shared" ca="1" si="61"/>
        <v>14%</v>
      </c>
      <c r="K782" t="s">
        <v>59</v>
      </c>
      <c r="L782" s="66" t="str">
        <f t="shared" ca="1" si="62"/>
        <v>Sin costo</v>
      </c>
      <c r="M782" t="s">
        <v>64</v>
      </c>
      <c r="N782" t="s">
        <v>66</v>
      </c>
      <c r="O782" t="s">
        <v>66</v>
      </c>
      <c r="P782" t="s">
        <v>66</v>
      </c>
      <c r="R782" t="s">
        <v>66</v>
      </c>
      <c r="U782" t="s">
        <v>90</v>
      </c>
      <c r="V782" t="s">
        <v>66</v>
      </c>
      <c r="W782" t="s">
        <v>66</v>
      </c>
      <c r="X782" t="s">
        <v>66</v>
      </c>
      <c r="Y782" t="s">
        <v>66</v>
      </c>
      <c r="Z782" s="99" t="str">
        <f t="shared" ca="1" si="63"/>
        <v/>
      </c>
      <c r="AA782" s="101" t="str">
        <f t="shared" ca="1" si="64"/>
        <v/>
      </c>
    </row>
    <row r="783" spans="2:27" ht="27.6" customHeight="1">
      <c r="B783">
        <f t="shared" ca="1" si="60"/>
        <v>0</v>
      </c>
      <c r="C783" t="s">
        <v>36</v>
      </c>
      <c r="G783" s="75">
        <v>1</v>
      </c>
      <c r="J783" s="66" t="str">
        <f t="shared" ca="1" si="61"/>
        <v>14%</v>
      </c>
      <c r="K783" t="s">
        <v>59</v>
      </c>
      <c r="L783" s="66" t="str">
        <f t="shared" ca="1" si="62"/>
        <v>Sin costo</v>
      </c>
      <c r="M783" t="s">
        <v>64</v>
      </c>
      <c r="N783" t="s">
        <v>66</v>
      </c>
      <c r="O783" t="s">
        <v>66</v>
      </c>
      <c r="P783" t="s">
        <v>66</v>
      </c>
      <c r="R783" t="s">
        <v>66</v>
      </c>
      <c r="U783" t="s">
        <v>90</v>
      </c>
      <c r="V783" t="s">
        <v>66</v>
      </c>
      <c r="W783" t="s">
        <v>66</v>
      </c>
      <c r="X783" t="s">
        <v>66</v>
      </c>
      <c r="Y783" t="s">
        <v>66</v>
      </c>
      <c r="Z783" s="99" t="str">
        <f t="shared" ca="1" si="63"/>
        <v/>
      </c>
      <c r="AA783" s="101" t="str">
        <f t="shared" ca="1" si="64"/>
        <v/>
      </c>
    </row>
    <row r="784" spans="2:27" ht="27.6" customHeight="1">
      <c r="B784">
        <f t="shared" ca="1" si="60"/>
        <v>0</v>
      </c>
      <c r="C784" t="s">
        <v>36</v>
      </c>
      <c r="G784" s="75">
        <v>1</v>
      </c>
      <c r="J784" s="66" t="str">
        <f t="shared" ca="1" si="61"/>
        <v>14%</v>
      </c>
      <c r="K784" t="s">
        <v>59</v>
      </c>
      <c r="L784" s="66" t="str">
        <f t="shared" ca="1" si="62"/>
        <v>Sin costo</v>
      </c>
      <c r="M784" t="s">
        <v>64</v>
      </c>
      <c r="N784" t="s">
        <v>66</v>
      </c>
      <c r="O784" t="s">
        <v>66</v>
      </c>
      <c r="P784" t="s">
        <v>66</v>
      </c>
      <c r="R784" t="s">
        <v>66</v>
      </c>
      <c r="U784" t="s">
        <v>90</v>
      </c>
      <c r="V784" t="s">
        <v>66</v>
      </c>
      <c r="W784" t="s">
        <v>66</v>
      </c>
      <c r="X784" t="s">
        <v>66</v>
      </c>
      <c r="Y784" t="s">
        <v>66</v>
      </c>
      <c r="Z784" s="99" t="str">
        <f t="shared" ca="1" si="63"/>
        <v/>
      </c>
      <c r="AA784" s="101" t="str">
        <f t="shared" ca="1" si="64"/>
        <v/>
      </c>
    </row>
    <row r="785" spans="2:27" ht="27.6" customHeight="1">
      <c r="B785">
        <f t="shared" ca="1" si="60"/>
        <v>0</v>
      </c>
      <c r="C785" t="s">
        <v>36</v>
      </c>
      <c r="G785" s="75">
        <v>1</v>
      </c>
      <c r="J785" s="66" t="str">
        <f t="shared" ca="1" si="61"/>
        <v>14%</v>
      </c>
      <c r="K785" t="s">
        <v>59</v>
      </c>
      <c r="L785" s="66" t="str">
        <f t="shared" ca="1" si="62"/>
        <v>Sin costo</v>
      </c>
      <c r="M785" t="s">
        <v>64</v>
      </c>
      <c r="N785" t="s">
        <v>66</v>
      </c>
      <c r="O785" t="s">
        <v>66</v>
      </c>
      <c r="P785" t="s">
        <v>66</v>
      </c>
      <c r="R785" t="s">
        <v>66</v>
      </c>
      <c r="U785" t="s">
        <v>90</v>
      </c>
      <c r="V785" t="s">
        <v>66</v>
      </c>
      <c r="W785" t="s">
        <v>66</v>
      </c>
      <c r="X785" t="s">
        <v>66</v>
      </c>
      <c r="Y785" t="s">
        <v>66</v>
      </c>
      <c r="Z785" s="99" t="str">
        <f t="shared" ca="1" si="63"/>
        <v/>
      </c>
      <c r="AA785" s="101" t="str">
        <f t="shared" ca="1" si="64"/>
        <v/>
      </c>
    </row>
    <row r="786" spans="2:27" ht="27.6" customHeight="1">
      <c r="B786">
        <f t="shared" ca="1" si="60"/>
        <v>0</v>
      </c>
      <c r="C786" t="s">
        <v>36</v>
      </c>
      <c r="G786" s="75">
        <v>1</v>
      </c>
      <c r="J786" s="66" t="str">
        <f t="shared" ca="1" si="61"/>
        <v>14%</v>
      </c>
      <c r="K786" t="s">
        <v>59</v>
      </c>
      <c r="L786" s="66" t="str">
        <f t="shared" ca="1" si="62"/>
        <v>Sin costo</v>
      </c>
      <c r="M786" t="s">
        <v>64</v>
      </c>
      <c r="N786" t="s">
        <v>66</v>
      </c>
      <c r="O786" t="s">
        <v>66</v>
      </c>
      <c r="P786" t="s">
        <v>66</v>
      </c>
      <c r="R786" t="s">
        <v>66</v>
      </c>
      <c r="U786" t="s">
        <v>90</v>
      </c>
      <c r="V786" t="s">
        <v>66</v>
      </c>
      <c r="W786" t="s">
        <v>66</v>
      </c>
      <c r="X786" t="s">
        <v>66</v>
      </c>
      <c r="Y786" t="s">
        <v>66</v>
      </c>
      <c r="Z786" s="99" t="str">
        <f t="shared" ca="1" si="63"/>
        <v/>
      </c>
      <c r="AA786" s="101" t="str">
        <f t="shared" ca="1" si="64"/>
        <v/>
      </c>
    </row>
    <row r="787" spans="2:27" ht="27.6" customHeight="1">
      <c r="B787">
        <f t="shared" ca="1" si="60"/>
        <v>0</v>
      </c>
      <c r="C787" t="s">
        <v>36</v>
      </c>
      <c r="G787" s="75">
        <v>1</v>
      </c>
      <c r="J787" s="66" t="str">
        <f t="shared" ca="1" si="61"/>
        <v>14%</v>
      </c>
      <c r="K787" t="s">
        <v>59</v>
      </c>
      <c r="L787" s="66" t="str">
        <f t="shared" ca="1" si="62"/>
        <v>Sin costo</v>
      </c>
      <c r="M787" t="s">
        <v>64</v>
      </c>
      <c r="N787" t="s">
        <v>66</v>
      </c>
      <c r="O787" t="s">
        <v>66</v>
      </c>
      <c r="P787" t="s">
        <v>66</v>
      </c>
      <c r="R787" t="s">
        <v>66</v>
      </c>
      <c r="U787" t="s">
        <v>90</v>
      </c>
      <c r="V787" t="s">
        <v>66</v>
      </c>
      <c r="W787" t="s">
        <v>66</v>
      </c>
      <c r="X787" t="s">
        <v>66</v>
      </c>
      <c r="Y787" t="s">
        <v>66</v>
      </c>
      <c r="Z787" s="99" t="str">
        <f t="shared" ca="1" si="63"/>
        <v/>
      </c>
      <c r="AA787" s="101" t="str">
        <f t="shared" ca="1" si="64"/>
        <v/>
      </c>
    </row>
    <row r="788" spans="2:27" ht="27.6" customHeight="1">
      <c r="B788">
        <f t="shared" ca="1" si="60"/>
        <v>0</v>
      </c>
      <c r="C788" t="s">
        <v>36</v>
      </c>
      <c r="G788" s="75">
        <v>1</v>
      </c>
      <c r="J788" s="66" t="str">
        <f t="shared" ca="1" si="61"/>
        <v>14%</v>
      </c>
      <c r="K788" t="s">
        <v>59</v>
      </c>
      <c r="L788" s="66" t="str">
        <f t="shared" ca="1" si="62"/>
        <v>Sin costo</v>
      </c>
      <c r="M788" t="s">
        <v>64</v>
      </c>
      <c r="N788" t="s">
        <v>66</v>
      </c>
      <c r="O788" t="s">
        <v>66</v>
      </c>
      <c r="P788" t="s">
        <v>66</v>
      </c>
      <c r="R788" t="s">
        <v>66</v>
      </c>
      <c r="U788" t="s">
        <v>90</v>
      </c>
      <c r="V788" t="s">
        <v>66</v>
      </c>
      <c r="W788" t="s">
        <v>66</v>
      </c>
      <c r="X788" t="s">
        <v>66</v>
      </c>
      <c r="Y788" t="s">
        <v>66</v>
      </c>
      <c r="Z788" s="99" t="str">
        <f t="shared" ca="1" si="63"/>
        <v/>
      </c>
      <c r="AA788" s="101" t="str">
        <f t="shared" ca="1" si="64"/>
        <v/>
      </c>
    </row>
    <row r="789" spans="2:27" ht="27.6" customHeight="1">
      <c r="B789">
        <f t="shared" ca="1" si="60"/>
        <v>0</v>
      </c>
      <c r="C789" t="s">
        <v>36</v>
      </c>
      <c r="G789" s="75">
        <v>1</v>
      </c>
      <c r="J789" s="66" t="str">
        <f t="shared" ca="1" si="61"/>
        <v>14%</v>
      </c>
      <c r="K789" t="s">
        <v>59</v>
      </c>
      <c r="L789" s="66" t="str">
        <f t="shared" ca="1" si="62"/>
        <v>Sin costo</v>
      </c>
      <c r="M789" t="s">
        <v>64</v>
      </c>
      <c r="N789" t="s">
        <v>66</v>
      </c>
      <c r="O789" t="s">
        <v>66</v>
      </c>
      <c r="P789" t="s">
        <v>66</v>
      </c>
      <c r="R789" t="s">
        <v>66</v>
      </c>
      <c r="U789" t="s">
        <v>90</v>
      </c>
      <c r="V789" t="s">
        <v>66</v>
      </c>
      <c r="W789" t="s">
        <v>66</v>
      </c>
      <c r="X789" t="s">
        <v>66</v>
      </c>
      <c r="Y789" t="s">
        <v>66</v>
      </c>
      <c r="Z789" s="99" t="str">
        <f t="shared" ca="1" si="63"/>
        <v/>
      </c>
      <c r="AA789" s="101" t="str">
        <f t="shared" ca="1" si="64"/>
        <v/>
      </c>
    </row>
    <row r="790" spans="2:27" ht="27.6" customHeight="1">
      <c r="B790">
        <f t="shared" ca="1" si="60"/>
        <v>0</v>
      </c>
      <c r="C790" t="s">
        <v>36</v>
      </c>
      <c r="G790" s="75">
        <v>1</v>
      </c>
      <c r="J790" s="66" t="str">
        <f t="shared" ca="1" si="61"/>
        <v>14%</v>
      </c>
      <c r="K790" t="s">
        <v>59</v>
      </c>
      <c r="L790" s="66" t="str">
        <f t="shared" ca="1" si="62"/>
        <v>Sin costo</v>
      </c>
      <c r="M790" t="s">
        <v>64</v>
      </c>
      <c r="N790" t="s">
        <v>66</v>
      </c>
      <c r="O790" t="s">
        <v>66</v>
      </c>
      <c r="P790" t="s">
        <v>66</v>
      </c>
      <c r="R790" t="s">
        <v>66</v>
      </c>
      <c r="U790" t="s">
        <v>90</v>
      </c>
      <c r="V790" t="s">
        <v>66</v>
      </c>
      <c r="W790" t="s">
        <v>66</v>
      </c>
      <c r="X790" t="s">
        <v>66</v>
      </c>
      <c r="Y790" t="s">
        <v>66</v>
      </c>
      <c r="Z790" s="99" t="str">
        <f t="shared" ca="1" si="63"/>
        <v/>
      </c>
      <c r="AA790" s="101" t="str">
        <f t="shared" ca="1" si="64"/>
        <v/>
      </c>
    </row>
    <row r="791" spans="2:27" ht="27.6" customHeight="1">
      <c r="B791">
        <f t="shared" ca="1" si="60"/>
        <v>0</v>
      </c>
      <c r="C791" t="s">
        <v>36</v>
      </c>
      <c r="G791" s="75">
        <v>1</v>
      </c>
      <c r="J791" s="66" t="str">
        <f t="shared" ca="1" si="61"/>
        <v>14%</v>
      </c>
      <c r="K791" t="s">
        <v>59</v>
      </c>
      <c r="L791" s="66" t="str">
        <f t="shared" ca="1" si="62"/>
        <v>Sin costo</v>
      </c>
      <c r="M791" t="s">
        <v>64</v>
      </c>
      <c r="N791" t="s">
        <v>66</v>
      </c>
      <c r="O791" t="s">
        <v>66</v>
      </c>
      <c r="P791" t="s">
        <v>66</v>
      </c>
      <c r="R791" t="s">
        <v>66</v>
      </c>
      <c r="U791" t="s">
        <v>90</v>
      </c>
      <c r="V791" t="s">
        <v>66</v>
      </c>
      <c r="W791" t="s">
        <v>66</v>
      </c>
      <c r="X791" t="s">
        <v>66</v>
      </c>
      <c r="Y791" t="s">
        <v>66</v>
      </c>
      <c r="Z791" s="99" t="str">
        <f t="shared" ca="1" si="63"/>
        <v/>
      </c>
      <c r="AA791" s="101" t="str">
        <f t="shared" ca="1" si="64"/>
        <v/>
      </c>
    </row>
    <row r="792" spans="2:27" ht="27.6" customHeight="1">
      <c r="B792">
        <f t="shared" ca="1" si="60"/>
        <v>0</v>
      </c>
      <c r="C792" t="s">
        <v>36</v>
      </c>
      <c r="G792" s="75">
        <v>1</v>
      </c>
      <c r="J792" s="66" t="str">
        <f t="shared" ca="1" si="61"/>
        <v>14%</v>
      </c>
      <c r="K792" t="s">
        <v>59</v>
      </c>
      <c r="L792" s="66" t="str">
        <f t="shared" ca="1" si="62"/>
        <v>Sin costo</v>
      </c>
      <c r="M792" t="s">
        <v>64</v>
      </c>
      <c r="N792" t="s">
        <v>66</v>
      </c>
      <c r="O792" t="s">
        <v>66</v>
      </c>
      <c r="P792" t="s">
        <v>66</v>
      </c>
      <c r="R792" t="s">
        <v>66</v>
      </c>
      <c r="U792" t="s">
        <v>90</v>
      </c>
      <c r="V792" t="s">
        <v>66</v>
      </c>
      <c r="W792" t="s">
        <v>66</v>
      </c>
      <c r="X792" t="s">
        <v>66</v>
      </c>
      <c r="Y792" t="s">
        <v>66</v>
      </c>
      <c r="Z792" s="99" t="str">
        <f t="shared" ca="1" si="63"/>
        <v/>
      </c>
      <c r="AA792" s="101" t="str">
        <f t="shared" ca="1" si="64"/>
        <v/>
      </c>
    </row>
    <row r="793" spans="2:27" ht="27.6" customHeight="1">
      <c r="B793">
        <f t="shared" ca="1" si="60"/>
        <v>0</v>
      </c>
      <c r="C793" t="s">
        <v>36</v>
      </c>
      <c r="G793" s="75">
        <v>1</v>
      </c>
      <c r="J793" s="66" t="str">
        <f t="shared" ca="1" si="61"/>
        <v>14%</v>
      </c>
      <c r="K793" t="s">
        <v>59</v>
      </c>
      <c r="L793" s="66" t="str">
        <f t="shared" ca="1" si="62"/>
        <v>Sin costo</v>
      </c>
      <c r="M793" t="s">
        <v>64</v>
      </c>
      <c r="N793" t="s">
        <v>66</v>
      </c>
      <c r="O793" t="s">
        <v>66</v>
      </c>
      <c r="P793" t="s">
        <v>66</v>
      </c>
      <c r="R793" t="s">
        <v>66</v>
      </c>
      <c r="U793" t="s">
        <v>90</v>
      </c>
      <c r="V793" t="s">
        <v>66</v>
      </c>
      <c r="W793" t="s">
        <v>66</v>
      </c>
      <c r="X793" t="s">
        <v>66</v>
      </c>
      <c r="Y793" t="s">
        <v>66</v>
      </c>
      <c r="Z793" s="99" t="str">
        <f t="shared" ca="1" si="63"/>
        <v/>
      </c>
      <c r="AA793" s="101" t="str">
        <f t="shared" ca="1" si="64"/>
        <v/>
      </c>
    </row>
    <row r="794" spans="2:27" ht="27.6" customHeight="1">
      <c r="B794">
        <f t="shared" ca="1" si="60"/>
        <v>0</v>
      </c>
      <c r="C794" t="s">
        <v>36</v>
      </c>
      <c r="G794" s="75">
        <v>1</v>
      </c>
      <c r="J794" s="66" t="str">
        <f t="shared" ca="1" si="61"/>
        <v>14%</v>
      </c>
      <c r="K794" t="s">
        <v>59</v>
      </c>
      <c r="L794" s="66" t="str">
        <f t="shared" ca="1" si="62"/>
        <v>Sin costo</v>
      </c>
      <c r="M794" t="s">
        <v>64</v>
      </c>
      <c r="N794" t="s">
        <v>66</v>
      </c>
      <c r="O794" t="s">
        <v>66</v>
      </c>
      <c r="P794" t="s">
        <v>66</v>
      </c>
      <c r="R794" t="s">
        <v>66</v>
      </c>
      <c r="U794" t="s">
        <v>90</v>
      </c>
      <c r="V794" t="s">
        <v>66</v>
      </c>
      <c r="W794" t="s">
        <v>66</v>
      </c>
      <c r="X794" t="s">
        <v>66</v>
      </c>
      <c r="Y794" t="s">
        <v>66</v>
      </c>
      <c r="Z794" s="99" t="str">
        <f t="shared" ca="1" si="63"/>
        <v/>
      </c>
      <c r="AA794" s="101" t="str">
        <f t="shared" ca="1" si="64"/>
        <v/>
      </c>
    </row>
    <row r="795" spans="2:27" ht="27.6" customHeight="1">
      <c r="B795">
        <f t="shared" ca="1" si="60"/>
        <v>0</v>
      </c>
      <c r="C795" t="s">
        <v>36</v>
      </c>
      <c r="G795" s="75">
        <v>1</v>
      </c>
      <c r="J795" s="66" t="str">
        <f t="shared" ca="1" si="61"/>
        <v>14%</v>
      </c>
      <c r="K795" t="s">
        <v>59</v>
      </c>
      <c r="L795" s="66" t="str">
        <f t="shared" ca="1" si="62"/>
        <v>Sin costo</v>
      </c>
      <c r="M795" t="s">
        <v>64</v>
      </c>
      <c r="N795" t="s">
        <v>66</v>
      </c>
      <c r="O795" t="s">
        <v>66</v>
      </c>
      <c r="P795" t="s">
        <v>66</v>
      </c>
      <c r="R795" t="s">
        <v>66</v>
      </c>
      <c r="U795" t="s">
        <v>90</v>
      </c>
      <c r="V795" t="s">
        <v>66</v>
      </c>
      <c r="W795" t="s">
        <v>66</v>
      </c>
      <c r="X795" t="s">
        <v>66</v>
      </c>
      <c r="Y795" t="s">
        <v>66</v>
      </c>
      <c r="Z795" s="99" t="str">
        <f t="shared" ca="1" si="63"/>
        <v/>
      </c>
      <c r="AA795" s="101" t="str">
        <f t="shared" ca="1" si="64"/>
        <v/>
      </c>
    </row>
    <row r="796" spans="2:27" ht="27.6" customHeight="1">
      <c r="B796">
        <f t="shared" ca="1" si="60"/>
        <v>0</v>
      </c>
      <c r="C796" t="s">
        <v>36</v>
      </c>
      <c r="G796" s="75">
        <v>1</v>
      </c>
      <c r="J796" s="66" t="str">
        <f t="shared" ca="1" si="61"/>
        <v>14%</v>
      </c>
      <c r="K796" t="s">
        <v>59</v>
      </c>
      <c r="L796" s="66" t="str">
        <f t="shared" ca="1" si="62"/>
        <v>Sin costo</v>
      </c>
      <c r="M796" t="s">
        <v>64</v>
      </c>
      <c r="N796" t="s">
        <v>66</v>
      </c>
      <c r="O796" t="s">
        <v>66</v>
      </c>
      <c r="P796" t="s">
        <v>66</v>
      </c>
      <c r="R796" t="s">
        <v>66</v>
      </c>
      <c r="U796" t="s">
        <v>90</v>
      </c>
      <c r="V796" t="s">
        <v>66</v>
      </c>
      <c r="W796" t="s">
        <v>66</v>
      </c>
      <c r="X796" t="s">
        <v>66</v>
      </c>
      <c r="Y796" t="s">
        <v>66</v>
      </c>
      <c r="Z796" s="99" t="str">
        <f t="shared" ca="1" si="63"/>
        <v/>
      </c>
      <c r="AA796" s="101" t="str">
        <f t="shared" ca="1" si="64"/>
        <v/>
      </c>
    </row>
    <row r="797" spans="2:27" ht="27.6" customHeight="1">
      <c r="B797">
        <f t="shared" ca="1" si="60"/>
        <v>0</v>
      </c>
      <c r="C797" t="s">
        <v>36</v>
      </c>
      <c r="G797" s="75">
        <v>1</v>
      </c>
      <c r="J797" s="66" t="str">
        <f t="shared" ca="1" si="61"/>
        <v>14%</v>
      </c>
      <c r="K797" t="s">
        <v>59</v>
      </c>
      <c r="L797" s="66" t="str">
        <f t="shared" ca="1" si="62"/>
        <v>Sin costo</v>
      </c>
      <c r="M797" t="s">
        <v>64</v>
      </c>
      <c r="N797" t="s">
        <v>66</v>
      </c>
      <c r="O797" t="s">
        <v>66</v>
      </c>
      <c r="P797" t="s">
        <v>66</v>
      </c>
      <c r="R797" t="s">
        <v>66</v>
      </c>
      <c r="U797" t="s">
        <v>90</v>
      </c>
      <c r="V797" t="s">
        <v>66</v>
      </c>
      <c r="W797" t="s">
        <v>66</v>
      </c>
      <c r="X797" t="s">
        <v>66</v>
      </c>
      <c r="Y797" t="s">
        <v>66</v>
      </c>
      <c r="Z797" s="99" t="str">
        <f t="shared" ca="1" si="63"/>
        <v/>
      </c>
      <c r="AA797" s="101" t="str">
        <f t="shared" ca="1" si="64"/>
        <v/>
      </c>
    </row>
    <row r="798" spans="2:27" ht="27.6" customHeight="1">
      <c r="B798">
        <f t="shared" ca="1" si="60"/>
        <v>0</v>
      </c>
      <c r="C798" t="s">
        <v>36</v>
      </c>
      <c r="G798" s="75">
        <v>1</v>
      </c>
      <c r="J798" s="66" t="str">
        <f t="shared" ca="1" si="61"/>
        <v>14%</v>
      </c>
      <c r="K798" t="s">
        <v>59</v>
      </c>
      <c r="L798" s="66" t="str">
        <f t="shared" ca="1" si="62"/>
        <v>Sin costo</v>
      </c>
      <c r="M798" t="s">
        <v>64</v>
      </c>
      <c r="N798" t="s">
        <v>66</v>
      </c>
      <c r="O798" t="s">
        <v>66</v>
      </c>
      <c r="P798" t="s">
        <v>66</v>
      </c>
      <c r="R798" t="s">
        <v>66</v>
      </c>
      <c r="U798" t="s">
        <v>90</v>
      </c>
      <c r="V798" t="s">
        <v>66</v>
      </c>
      <c r="W798" t="s">
        <v>66</v>
      </c>
      <c r="X798" t="s">
        <v>66</v>
      </c>
      <c r="Y798" t="s">
        <v>66</v>
      </c>
      <c r="Z798" s="99" t="str">
        <f t="shared" ca="1" si="63"/>
        <v/>
      </c>
      <c r="AA798" s="101" t="str">
        <f t="shared" ca="1" si="64"/>
        <v/>
      </c>
    </row>
    <row r="799" spans="2:27" ht="27.6" customHeight="1">
      <c r="B799">
        <f t="shared" ca="1" si="60"/>
        <v>0</v>
      </c>
      <c r="C799" t="s">
        <v>36</v>
      </c>
      <c r="G799" s="75">
        <v>1</v>
      </c>
      <c r="J799" s="66" t="str">
        <f t="shared" ca="1" si="61"/>
        <v>14%</v>
      </c>
      <c r="K799" t="s">
        <v>59</v>
      </c>
      <c r="L799" s="66" t="str">
        <f t="shared" ca="1" si="62"/>
        <v>Sin costo</v>
      </c>
      <c r="M799" t="s">
        <v>64</v>
      </c>
      <c r="N799" t="s">
        <v>66</v>
      </c>
      <c r="O799" t="s">
        <v>66</v>
      </c>
      <c r="P799" t="s">
        <v>66</v>
      </c>
      <c r="R799" t="s">
        <v>66</v>
      </c>
      <c r="U799" t="s">
        <v>90</v>
      </c>
      <c r="V799" t="s">
        <v>66</v>
      </c>
      <c r="W799" t="s">
        <v>66</v>
      </c>
      <c r="X799" t="s">
        <v>66</v>
      </c>
      <c r="Y799" t="s">
        <v>66</v>
      </c>
      <c r="Z799" s="99" t="str">
        <f t="shared" ca="1" si="63"/>
        <v/>
      </c>
      <c r="AA799" s="101" t="str">
        <f t="shared" ca="1" si="64"/>
        <v/>
      </c>
    </row>
    <row r="800" spans="2:27" ht="27.6" customHeight="1">
      <c r="B800">
        <f t="shared" ca="1" si="60"/>
        <v>0</v>
      </c>
      <c r="C800" t="s">
        <v>36</v>
      </c>
      <c r="G800" s="75">
        <v>1</v>
      </c>
      <c r="J800" s="66" t="str">
        <f t="shared" ca="1" si="61"/>
        <v>14%</v>
      </c>
      <c r="K800" t="s">
        <v>59</v>
      </c>
      <c r="L800" s="66" t="str">
        <f t="shared" ca="1" si="62"/>
        <v>Sin costo</v>
      </c>
      <c r="M800" t="s">
        <v>64</v>
      </c>
      <c r="N800" t="s">
        <v>66</v>
      </c>
      <c r="O800" t="s">
        <v>66</v>
      </c>
      <c r="P800" t="s">
        <v>66</v>
      </c>
      <c r="R800" t="s">
        <v>66</v>
      </c>
      <c r="U800" t="s">
        <v>90</v>
      </c>
      <c r="V800" t="s">
        <v>66</v>
      </c>
      <c r="W800" t="s">
        <v>66</v>
      </c>
      <c r="X800" t="s">
        <v>66</v>
      </c>
      <c r="Y800" t="s">
        <v>66</v>
      </c>
      <c r="Z800" s="99" t="str">
        <f t="shared" ca="1" si="63"/>
        <v/>
      </c>
      <c r="AA800" s="101" t="str">
        <f t="shared" ca="1" si="64"/>
        <v/>
      </c>
    </row>
    <row r="801" spans="2:27" ht="27.6" customHeight="1">
      <c r="B801">
        <f t="shared" ca="1" si="60"/>
        <v>0</v>
      </c>
      <c r="C801" t="s">
        <v>36</v>
      </c>
      <c r="G801" s="75">
        <v>1</v>
      </c>
      <c r="J801" s="66" t="str">
        <f t="shared" ca="1" si="61"/>
        <v>14%</v>
      </c>
      <c r="K801" t="s">
        <v>59</v>
      </c>
      <c r="L801" s="66" t="str">
        <f t="shared" ca="1" si="62"/>
        <v>Sin costo</v>
      </c>
      <c r="M801" t="s">
        <v>64</v>
      </c>
      <c r="N801" t="s">
        <v>66</v>
      </c>
      <c r="O801" t="s">
        <v>66</v>
      </c>
      <c r="P801" t="s">
        <v>66</v>
      </c>
      <c r="R801" t="s">
        <v>66</v>
      </c>
      <c r="U801" t="s">
        <v>90</v>
      </c>
      <c r="V801" t="s">
        <v>66</v>
      </c>
      <c r="W801" t="s">
        <v>66</v>
      </c>
      <c r="X801" t="s">
        <v>66</v>
      </c>
      <c r="Y801" t="s">
        <v>66</v>
      </c>
      <c r="Z801" s="99" t="str">
        <f t="shared" ca="1" si="63"/>
        <v/>
      </c>
      <c r="AA801" s="101" t="str">
        <f t="shared" ca="1" si="64"/>
        <v/>
      </c>
    </row>
    <row r="802" spans="2:27" ht="27.6" customHeight="1">
      <c r="B802">
        <f t="shared" ca="1" si="60"/>
        <v>0</v>
      </c>
      <c r="C802" t="s">
        <v>36</v>
      </c>
      <c r="G802" s="75">
        <v>1</v>
      </c>
      <c r="J802" s="66" t="str">
        <f t="shared" ca="1" si="61"/>
        <v>14%</v>
      </c>
      <c r="K802" t="s">
        <v>59</v>
      </c>
      <c r="L802" s="66" t="str">
        <f t="shared" ca="1" si="62"/>
        <v>Sin costo</v>
      </c>
      <c r="M802" t="s">
        <v>64</v>
      </c>
      <c r="N802" t="s">
        <v>66</v>
      </c>
      <c r="O802" t="s">
        <v>66</v>
      </c>
      <c r="P802" t="s">
        <v>66</v>
      </c>
      <c r="R802" t="s">
        <v>66</v>
      </c>
      <c r="U802" t="s">
        <v>90</v>
      </c>
      <c r="V802" t="s">
        <v>66</v>
      </c>
      <c r="W802" t="s">
        <v>66</v>
      </c>
      <c r="X802" t="s">
        <v>66</v>
      </c>
      <c r="Y802" t="s">
        <v>66</v>
      </c>
      <c r="Z802" s="99" t="str">
        <f t="shared" ca="1" si="63"/>
        <v/>
      </c>
      <c r="AA802" s="101" t="str">
        <f t="shared" ca="1" si="64"/>
        <v/>
      </c>
    </row>
    <row r="803" spans="2:27" ht="27.6" customHeight="1">
      <c r="B803">
        <f t="shared" ca="1" si="60"/>
        <v>0</v>
      </c>
      <c r="C803" t="s">
        <v>36</v>
      </c>
      <c r="G803" s="75">
        <v>1</v>
      </c>
      <c r="J803" s="66" t="str">
        <f t="shared" ca="1" si="61"/>
        <v>14%</v>
      </c>
      <c r="K803" t="s">
        <v>59</v>
      </c>
      <c r="L803" s="66" t="str">
        <f t="shared" ca="1" si="62"/>
        <v>Sin costo</v>
      </c>
      <c r="M803" t="s">
        <v>64</v>
      </c>
      <c r="N803" t="s">
        <v>66</v>
      </c>
      <c r="O803" t="s">
        <v>66</v>
      </c>
      <c r="P803" t="s">
        <v>66</v>
      </c>
      <c r="R803" t="s">
        <v>66</v>
      </c>
      <c r="U803" t="s">
        <v>90</v>
      </c>
      <c r="V803" t="s">
        <v>66</v>
      </c>
      <c r="W803" t="s">
        <v>66</v>
      </c>
      <c r="X803" t="s">
        <v>66</v>
      </c>
      <c r="Y803" t="s">
        <v>66</v>
      </c>
      <c r="Z803" s="99" t="str">
        <f t="shared" ca="1" si="63"/>
        <v/>
      </c>
      <c r="AA803" s="101" t="str">
        <f t="shared" ca="1" si="64"/>
        <v/>
      </c>
    </row>
    <row r="804" spans="2:27" ht="27.6" customHeight="1">
      <c r="B804">
        <f t="shared" ca="1" si="60"/>
        <v>0</v>
      </c>
      <c r="C804" t="s">
        <v>36</v>
      </c>
      <c r="G804" s="75">
        <v>1</v>
      </c>
      <c r="J804" s="66" t="str">
        <f t="shared" ca="1" si="61"/>
        <v>14%</v>
      </c>
      <c r="K804" t="s">
        <v>59</v>
      </c>
      <c r="L804" s="66" t="str">
        <f t="shared" ca="1" si="62"/>
        <v>Sin costo</v>
      </c>
      <c r="M804" t="s">
        <v>64</v>
      </c>
      <c r="N804" t="s">
        <v>66</v>
      </c>
      <c r="O804" t="s">
        <v>66</v>
      </c>
      <c r="P804" t="s">
        <v>66</v>
      </c>
      <c r="R804" t="s">
        <v>66</v>
      </c>
      <c r="U804" t="s">
        <v>90</v>
      </c>
      <c r="V804" t="s">
        <v>66</v>
      </c>
      <c r="W804" t="s">
        <v>66</v>
      </c>
      <c r="X804" t="s">
        <v>66</v>
      </c>
      <c r="Y804" t="s">
        <v>66</v>
      </c>
      <c r="Z804" s="99" t="str">
        <f t="shared" ca="1" si="63"/>
        <v/>
      </c>
      <c r="AA804" s="101" t="str">
        <f t="shared" ca="1" si="64"/>
        <v/>
      </c>
    </row>
    <row r="805" spans="2:27" ht="27.6" customHeight="1">
      <c r="B805">
        <f t="shared" ca="1" si="60"/>
        <v>0</v>
      </c>
      <c r="C805" t="s">
        <v>36</v>
      </c>
      <c r="G805" s="75">
        <v>1</v>
      </c>
      <c r="J805" s="66" t="str">
        <f t="shared" ca="1" si="61"/>
        <v>14%</v>
      </c>
      <c r="K805" t="s">
        <v>59</v>
      </c>
      <c r="L805" s="66" t="str">
        <f t="shared" ca="1" si="62"/>
        <v>Sin costo</v>
      </c>
      <c r="M805" t="s">
        <v>64</v>
      </c>
      <c r="N805" t="s">
        <v>66</v>
      </c>
      <c r="O805" t="s">
        <v>66</v>
      </c>
      <c r="P805" t="s">
        <v>66</v>
      </c>
      <c r="R805" t="s">
        <v>66</v>
      </c>
      <c r="U805" t="s">
        <v>90</v>
      </c>
      <c r="V805" t="s">
        <v>66</v>
      </c>
      <c r="W805" t="s">
        <v>66</v>
      </c>
      <c r="X805" t="s">
        <v>66</v>
      </c>
      <c r="Y805" t="s">
        <v>66</v>
      </c>
      <c r="Z805" s="99" t="str">
        <f t="shared" ca="1" si="63"/>
        <v/>
      </c>
      <c r="AA805" s="101" t="str">
        <f t="shared" ca="1" si="64"/>
        <v/>
      </c>
    </row>
    <row r="806" spans="2:27" ht="27.6" customHeight="1">
      <c r="B806">
        <f t="shared" ca="1" si="60"/>
        <v>0</v>
      </c>
      <c r="C806" t="s">
        <v>36</v>
      </c>
      <c r="G806" s="75">
        <v>1</v>
      </c>
      <c r="J806" s="66" t="str">
        <f t="shared" ca="1" si="61"/>
        <v>14%</v>
      </c>
      <c r="K806" t="s">
        <v>59</v>
      </c>
      <c r="L806" s="66" t="str">
        <f t="shared" ca="1" si="62"/>
        <v>Sin costo</v>
      </c>
      <c r="M806" t="s">
        <v>64</v>
      </c>
      <c r="N806" t="s">
        <v>66</v>
      </c>
      <c r="O806" t="s">
        <v>66</v>
      </c>
      <c r="P806" t="s">
        <v>66</v>
      </c>
      <c r="R806" t="s">
        <v>66</v>
      </c>
      <c r="U806" t="s">
        <v>90</v>
      </c>
      <c r="V806" t="s">
        <v>66</v>
      </c>
      <c r="W806" t="s">
        <v>66</v>
      </c>
      <c r="X806" t="s">
        <v>66</v>
      </c>
      <c r="Y806" t="s">
        <v>66</v>
      </c>
      <c r="Z806" s="99" t="str">
        <f t="shared" ca="1" si="63"/>
        <v/>
      </c>
      <c r="AA806" s="101" t="str">
        <f t="shared" ca="1" si="64"/>
        <v/>
      </c>
    </row>
    <row r="807" spans="2:27" ht="27.6" customHeight="1">
      <c r="B807">
        <f t="shared" ca="1" si="60"/>
        <v>0</v>
      </c>
      <c r="C807" t="s">
        <v>36</v>
      </c>
      <c r="G807" s="75">
        <v>1</v>
      </c>
      <c r="J807" s="66" t="str">
        <f t="shared" ca="1" si="61"/>
        <v>14%</v>
      </c>
      <c r="K807" t="s">
        <v>59</v>
      </c>
      <c r="L807" s="66" t="str">
        <f t="shared" ca="1" si="62"/>
        <v>Sin costo</v>
      </c>
      <c r="M807" t="s">
        <v>64</v>
      </c>
      <c r="N807" t="s">
        <v>66</v>
      </c>
      <c r="O807" t="s">
        <v>66</v>
      </c>
      <c r="P807" t="s">
        <v>66</v>
      </c>
      <c r="R807" t="s">
        <v>66</v>
      </c>
      <c r="U807" t="s">
        <v>90</v>
      </c>
      <c r="V807" t="s">
        <v>66</v>
      </c>
      <c r="W807" t="s">
        <v>66</v>
      </c>
      <c r="X807" t="s">
        <v>66</v>
      </c>
      <c r="Y807" t="s">
        <v>66</v>
      </c>
      <c r="Z807" s="99" t="str">
        <f t="shared" ca="1" si="63"/>
        <v/>
      </c>
      <c r="AA807" s="101" t="str">
        <f t="shared" ca="1" si="64"/>
        <v/>
      </c>
    </row>
    <row r="808" spans="2:27" ht="27.6" customHeight="1">
      <c r="B808">
        <f t="shared" ca="1" si="60"/>
        <v>0</v>
      </c>
      <c r="C808" t="s">
        <v>36</v>
      </c>
      <c r="G808" s="75">
        <v>1</v>
      </c>
      <c r="J808" s="66" t="str">
        <f t="shared" ca="1" si="61"/>
        <v>14%</v>
      </c>
      <c r="K808" t="s">
        <v>59</v>
      </c>
      <c r="L808" s="66" t="str">
        <f t="shared" ca="1" si="62"/>
        <v>Sin costo</v>
      </c>
      <c r="M808" t="s">
        <v>64</v>
      </c>
      <c r="N808" t="s">
        <v>66</v>
      </c>
      <c r="O808" t="s">
        <v>66</v>
      </c>
      <c r="P808" t="s">
        <v>66</v>
      </c>
      <c r="R808" t="s">
        <v>66</v>
      </c>
      <c r="U808" t="s">
        <v>90</v>
      </c>
      <c r="V808" t="s">
        <v>66</v>
      </c>
      <c r="W808" t="s">
        <v>66</v>
      </c>
      <c r="X808" t="s">
        <v>66</v>
      </c>
      <c r="Y808" t="s">
        <v>66</v>
      </c>
      <c r="Z808" s="99" t="str">
        <f t="shared" ca="1" si="63"/>
        <v/>
      </c>
      <c r="AA808" s="101" t="str">
        <f t="shared" ca="1" si="64"/>
        <v/>
      </c>
    </row>
    <row r="809" spans="2:27" ht="27.6" customHeight="1">
      <c r="B809">
        <f t="shared" ca="1" si="60"/>
        <v>0</v>
      </c>
      <c r="C809" t="s">
        <v>36</v>
      </c>
      <c r="G809" s="75">
        <v>1</v>
      </c>
      <c r="J809" s="66" t="str">
        <f t="shared" ca="1" si="61"/>
        <v>14%</v>
      </c>
      <c r="K809" t="s">
        <v>59</v>
      </c>
      <c r="L809" s="66" t="str">
        <f t="shared" ca="1" si="62"/>
        <v>Sin costo</v>
      </c>
      <c r="M809" t="s">
        <v>64</v>
      </c>
      <c r="N809" t="s">
        <v>66</v>
      </c>
      <c r="O809" t="s">
        <v>66</v>
      </c>
      <c r="P809" t="s">
        <v>66</v>
      </c>
      <c r="R809" t="s">
        <v>66</v>
      </c>
      <c r="U809" t="s">
        <v>90</v>
      </c>
      <c r="V809" t="s">
        <v>66</v>
      </c>
      <c r="W809" t="s">
        <v>66</v>
      </c>
      <c r="X809" t="s">
        <v>66</v>
      </c>
      <c r="Y809" t="s">
        <v>66</v>
      </c>
      <c r="Z809" s="99" t="str">
        <f t="shared" ca="1" si="63"/>
        <v/>
      </c>
      <c r="AA809" s="101" t="str">
        <f t="shared" ca="1" si="64"/>
        <v/>
      </c>
    </row>
    <row r="810" spans="2:27" ht="27.6" customHeight="1">
      <c r="B810">
        <f t="shared" ca="1" si="60"/>
        <v>0</v>
      </c>
      <c r="C810" t="s">
        <v>36</v>
      </c>
      <c r="G810" s="75">
        <v>1</v>
      </c>
      <c r="J810" s="66" t="str">
        <f t="shared" ca="1" si="61"/>
        <v>14%</v>
      </c>
      <c r="K810" t="s">
        <v>59</v>
      </c>
      <c r="L810" s="66" t="str">
        <f t="shared" ca="1" si="62"/>
        <v>Sin costo</v>
      </c>
      <c r="M810" t="s">
        <v>64</v>
      </c>
      <c r="N810" t="s">
        <v>66</v>
      </c>
      <c r="O810" t="s">
        <v>66</v>
      </c>
      <c r="P810" t="s">
        <v>66</v>
      </c>
      <c r="R810" t="s">
        <v>66</v>
      </c>
      <c r="U810" t="s">
        <v>90</v>
      </c>
      <c r="V810" t="s">
        <v>66</v>
      </c>
      <c r="W810" t="s">
        <v>66</v>
      </c>
      <c r="X810" t="s">
        <v>66</v>
      </c>
      <c r="Y810" t="s">
        <v>66</v>
      </c>
      <c r="Z810" s="99" t="str">
        <f t="shared" ca="1" si="63"/>
        <v/>
      </c>
      <c r="AA810" s="101" t="str">
        <f t="shared" ca="1" si="64"/>
        <v/>
      </c>
    </row>
    <row r="811" spans="2:27" ht="27.6" customHeight="1">
      <c r="B811">
        <f t="shared" ca="1" si="60"/>
        <v>0</v>
      </c>
      <c r="C811" t="s">
        <v>36</v>
      </c>
      <c r="G811" s="75">
        <v>1</v>
      </c>
      <c r="J811" s="66" t="str">
        <f t="shared" ca="1" si="61"/>
        <v>14%</v>
      </c>
      <c r="K811" t="s">
        <v>59</v>
      </c>
      <c r="L811" s="66" t="str">
        <f t="shared" ca="1" si="62"/>
        <v>Sin costo</v>
      </c>
      <c r="M811" t="s">
        <v>64</v>
      </c>
      <c r="N811" t="s">
        <v>66</v>
      </c>
      <c r="O811" t="s">
        <v>66</v>
      </c>
      <c r="P811" t="s">
        <v>66</v>
      </c>
      <c r="R811" t="s">
        <v>66</v>
      </c>
      <c r="U811" t="s">
        <v>90</v>
      </c>
      <c r="V811" t="s">
        <v>66</v>
      </c>
      <c r="W811" t="s">
        <v>66</v>
      </c>
      <c r="X811" t="s">
        <v>66</v>
      </c>
      <c r="Y811" t="s">
        <v>66</v>
      </c>
      <c r="Z811" s="99" t="str">
        <f t="shared" ca="1" si="63"/>
        <v/>
      </c>
      <c r="AA811" s="101" t="str">
        <f t="shared" ca="1" si="64"/>
        <v/>
      </c>
    </row>
    <row r="812" spans="2:27" ht="27.6" customHeight="1">
      <c r="B812">
        <f t="shared" ca="1" si="60"/>
        <v>0</v>
      </c>
      <c r="C812" t="s">
        <v>36</v>
      </c>
      <c r="G812" s="75">
        <v>1</v>
      </c>
      <c r="J812" s="66" t="str">
        <f t="shared" ca="1" si="61"/>
        <v>14%</v>
      </c>
      <c r="K812" t="s">
        <v>59</v>
      </c>
      <c r="L812" s="66" t="str">
        <f t="shared" ca="1" si="62"/>
        <v>Sin costo</v>
      </c>
      <c r="M812" t="s">
        <v>64</v>
      </c>
      <c r="N812" t="s">
        <v>66</v>
      </c>
      <c r="O812" t="s">
        <v>66</v>
      </c>
      <c r="P812" t="s">
        <v>66</v>
      </c>
      <c r="R812" t="s">
        <v>66</v>
      </c>
      <c r="U812" t="s">
        <v>90</v>
      </c>
      <c r="V812" t="s">
        <v>66</v>
      </c>
      <c r="W812" t="s">
        <v>66</v>
      </c>
      <c r="X812" t="s">
        <v>66</v>
      </c>
      <c r="Y812" t="s">
        <v>66</v>
      </c>
      <c r="Z812" s="99" t="str">
        <f t="shared" ca="1" si="63"/>
        <v/>
      </c>
      <c r="AA812" s="101" t="str">
        <f t="shared" ca="1" si="64"/>
        <v/>
      </c>
    </row>
    <row r="813" spans="2:27" ht="27.6" customHeight="1">
      <c r="B813">
        <f t="shared" ca="1" si="60"/>
        <v>0</v>
      </c>
      <c r="C813" t="s">
        <v>36</v>
      </c>
      <c r="G813" s="75">
        <v>1</v>
      </c>
      <c r="J813" s="66" t="str">
        <f t="shared" ca="1" si="61"/>
        <v>14%</v>
      </c>
      <c r="K813" t="s">
        <v>59</v>
      </c>
      <c r="L813" s="66" t="str">
        <f t="shared" ca="1" si="62"/>
        <v>Sin costo</v>
      </c>
      <c r="M813" t="s">
        <v>64</v>
      </c>
      <c r="N813" t="s">
        <v>66</v>
      </c>
      <c r="O813" t="s">
        <v>66</v>
      </c>
      <c r="P813" t="s">
        <v>66</v>
      </c>
      <c r="R813" t="s">
        <v>66</v>
      </c>
      <c r="U813" t="s">
        <v>90</v>
      </c>
      <c r="V813" t="s">
        <v>66</v>
      </c>
      <c r="W813" t="s">
        <v>66</v>
      </c>
      <c r="X813" t="s">
        <v>66</v>
      </c>
      <c r="Y813" t="s">
        <v>66</v>
      </c>
      <c r="Z813" s="99" t="str">
        <f t="shared" ca="1" si="63"/>
        <v/>
      </c>
      <c r="AA813" s="101" t="str">
        <f t="shared" ca="1" si="64"/>
        <v/>
      </c>
    </row>
    <row r="814" spans="2:27" ht="27.6" customHeight="1">
      <c r="B814">
        <f t="shared" ca="1" si="60"/>
        <v>0</v>
      </c>
      <c r="C814" t="s">
        <v>36</v>
      </c>
      <c r="G814" s="75">
        <v>1</v>
      </c>
      <c r="J814" s="66" t="str">
        <f t="shared" ca="1" si="61"/>
        <v>14%</v>
      </c>
      <c r="K814" t="s">
        <v>59</v>
      </c>
      <c r="L814" s="66" t="str">
        <f t="shared" ca="1" si="62"/>
        <v>Sin costo</v>
      </c>
      <c r="M814" t="s">
        <v>64</v>
      </c>
      <c r="N814" t="s">
        <v>66</v>
      </c>
      <c r="O814" t="s">
        <v>66</v>
      </c>
      <c r="P814" t="s">
        <v>66</v>
      </c>
      <c r="R814" t="s">
        <v>66</v>
      </c>
      <c r="U814" t="s">
        <v>90</v>
      </c>
      <c r="V814" t="s">
        <v>66</v>
      </c>
      <c r="W814" t="s">
        <v>66</v>
      </c>
      <c r="X814" t="s">
        <v>66</v>
      </c>
      <c r="Y814" t="s">
        <v>66</v>
      </c>
      <c r="Z814" s="99" t="str">
        <f t="shared" ca="1" si="63"/>
        <v/>
      </c>
      <c r="AA814" s="101" t="str">
        <f t="shared" ca="1" si="64"/>
        <v/>
      </c>
    </row>
    <row r="815" spans="2:27" ht="27.6" customHeight="1">
      <c r="B815">
        <f t="shared" ca="1" si="60"/>
        <v>0</v>
      </c>
      <c r="C815" t="s">
        <v>36</v>
      </c>
      <c r="G815" s="75">
        <v>1</v>
      </c>
      <c r="J815" s="66" t="str">
        <f t="shared" ca="1" si="61"/>
        <v>14%</v>
      </c>
      <c r="K815" t="s">
        <v>59</v>
      </c>
      <c r="L815" s="66" t="str">
        <f t="shared" ca="1" si="62"/>
        <v>Sin costo</v>
      </c>
      <c r="M815" t="s">
        <v>64</v>
      </c>
      <c r="N815" t="s">
        <v>66</v>
      </c>
      <c r="O815" t="s">
        <v>66</v>
      </c>
      <c r="P815" t="s">
        <v>66</v>
      </c>
      <c r="R815" t="s">
        <v>66</v>
      </c>
      <c r="U815" t="s">
        <v>90</v>
      </c>
      <c r="V815" t="s">
        <v>66</v>
      </c>
      <c r="W815" t="s">
        <v>66</v>
      </c>
      <c r="X815" t="s">
        <v>66</v>
      </c>
      <c r="Y815" t="s">
        <v>66</v>
      </c>
      <c r="Z815" s="99" t="str">
        <f t="shared" ca="1" si="63"/>
        <v/>
      </c>
      <c r="AA815" s="101" t="str">
        <f t="shared" ca="1" si="64"/>
        <v/>
      </c>
    </row>
    <row r="816" spans="2:27" ht="27.6" customHeight="1">
      <c r="B816">
        <f t="shared" ca="1" si="60"/>
        <v>0</v>
      </c>
      <c r="C816" t="s">
        <v>36</v>
      </c>
      <c r="G816" s="75">
        <v>1</v>
      </c>
      <c r="J816" s="66" t="str">
        <f t="shared" ca="1" si="61"/>
        <v>14%</v>
      </c>
      <c r="K816" t="s">
        <v>59</v>
      </c>
      <c r="L816" s="66" t="str">
        <f t="shared" ca="1" si="62"/>
        <v>Sin costo</v>
      </c>
      <c r="M816" t="s">
        <v>64</v>
      </c>
      <c r="N816" t="s">
        <v>66</v>
      </c>
      <c r="O816" t="s">
        <v>66</v>
      </c>
      <c r="P816" t="s">
        <v>66</v>
      </c>
      <c r="R816" t="s">
        <v>66</v>
      </c>
      <c r="U816" t="s">
        <v>90</v>
      </c>
      <c r="V816" t="s">
        <v>66</v>
      </c>
      <c r="W816" t="s">
        <v>66</v>
      </c>
      <c r="X816" t="s">
        <v>66</v>
      </c>
      <c r="Y816" t="s">
        <v>66</v>
      </c>
      <c r="Z816" s="99" t="str">
        <f t="shared" ca="1" si="63"/>
        <v/>
      </c>
      <c r="AA816" s="101" t="str">
        <f t="shared" ca="1" si="64"/>
        <v/>
      </c>
    </row>
    <row r="817" spans="2:27" ht="27.6" customHeight="1">
      <c r="B817">
        <f t="shared" ca="1" si="60"/>
        <v>0</v>
      </c>
      <c r="C817" t="s">
        <v>36</v>
      </c>
      <c r="G817" s="75">
        <v>1</v>
      </c>
      <c r="J817" s="66" t="str">
        <f t="shared" ca="1" si="61"/>
        <v>14%</v>
      </c>
      <c r="K817" t="s">
        <v>59</v>
      </c>
      <c r="L817" s="66" t="str">
        <f t="shared" ca="1" si="62"/>
        <v>Sin costo</v>
      </c>
      <c r="M817" t="s">
        <v>64</v>
      </c>
      <c r="N817" t="s">
        <v>66</v>
      </c>
      <c r="O817" t="s">
        <v>66</v>
      </c>
      <c r="P817" t="s">
        <v>66</v>
      </c>
      <c r="R817" t="s">
        <v>66</v>
      </c>
      <c r="U817" t="s">
        <v>90</v>
      </c>
      <c r="V817" t="s">
        <v>66</v>
      </c>
      <c r="W817" t="s">
        <v>66</v>
      </c>
      <c r="X817" t="s">
        <v>66</v>
      </c>
      <c r="Y817" t="s">
        <v>66</v>
      </c>
      <c r="Z817" s="99" t="str">
        <f t="shared" ca="1" si="63"/>
        <v/>
      </c>
      <c r="AA817" s="101" t="str">
        <f t="shared" ca="1" si="64"/>
        <v/>
      </c>
    </row>
    <row r="818" spans="2:27" ht="27.6" customHeight="1">
      <c r="B818">
        <f t="shared" ca="1" si="60"/>
        <v>0</v>
      </c>
      <c r="C818" t="s">
        <v>36</v>
      </c>
      <c r="G818" s="75">
        <v>1</v>
      </c>
      <c r="J818" s="66" t="str">
        <f t="shared" ca="1" si="61"/>
        <v>14%</v>
      </c>
      <c r="K818" t="s">
        <v>59</v>
      </c>
      <c r="L818" s="66" t="str">
        <f t="shared" ca="1" si="62"/>
        <v>Sin costo</v>
      </c>
      <c r="M818" t="s">
        <v>64</v>
      </c>
      <c r="N818" t="s">
        <v>66</v>
      </c>
      <c r="O818" t="s">
        <v>66</v>
      </c>
      <c r="P818" t="s">
        <v>66</v>
      </c>
      <c r="R818" t="s">
        <v>66</v>
      </c>
      <c r="U818" t="s">
        <v>90</v>
      </c>
      <c r="V818" t="s">
        <v>66</v>
      </c>
      <c r="W818" t="s">
        <v>66</v>
      </c>
      <c r="X818" t="s">
        <v>66</v>
      </c>
      <c r="Y818" t="s">
        <v>66</v>
      </c>
      <c r="Z818" s="99" t="str">
        <f t="shared" ca="1" si="63"/>
        <v/>
      </c>
      <c r="AA818" s="101" t="str">
        <f t="shared" ca="1" si="64"/>
        <v/>
      </c>
    </row>
    <row r="819" spans="2:27" ht="27.6" customHeight="1">
      <c r="B819">
        <f t="shared" ca="1" si="60"/>
        <v>0</v>
      </c>
      <c r="C819" t="s">
        <v>36</v>
      </c>
      <c r="G819" s="75">
        <v>1</v>
      </c>
      <c r="J819" s="66" t="str">
        <f t="shared" ca="1" si="61"/>
        <v>14%</v>
      </c>
      <c r="K819" t="s">
        <v>59</v>
      </c>
      <c r="L819" s="66" t="str">
        <f t="shared" ca="1" si="62"/>
        <v>Sin costo</v>
      </c>
      <c r="M819" t="s">
        <v>64</v>
      </c>
      <c r="N819" t="s">
        <v>66</v>
      </c>
      <c r="O819" t="s">
        <v>66</v>
      </c>
      <c r="P819" t="s">
        <v>66</v>
      </c>
      <c r="R819" t="s">
        <v>66</v>
      </c>
      <c r="U819" t="s">
        <v>90</v>
      </c>
      <c r="V819" t="s">
        <v>66</v>
      </c>
      <c r="W819" t="s">
        <v>66</v>
      </c>
      <c r="X819" t="s">
        <v>66</v>
      </c>
      <c r="Y819" t="s">
        <v>66</v>
      </c>
      <c r="Z819" s="99" t="str">
        <f t="shared" ca="1" si="63"/>
        <v/>
      </c>
      <c r="AA819" s="101" t="str">
        <f t="shared" ca="1" si="64"/>
        <v/>
      </c>
    </row>
    <row r="820" spans="2:27" ht="27.6" customHeight="1">
      <c r="B820">
        <f t="shared" ca="1" si="60"/>
        <v>0</v>
      </c>
      <c r="C820" t="s">
        <v>36</v>
      </c>
      <c r="G820" s="75">
        <v>1</v>
      </c>
      <c r="J820" s="66" t="str">
        <f t="shared" ca="1" si="61"/>
        <v>14%</v>
      </c>
      <c r="K820" t="s">
        <v>59</v>
      </c>
      <c r="L820" s="66" t="str">
        <f t="shared" ca="1" si="62"/>
        <v>Sin costo</v>
      </c>
      <c r="M820" t="s">
        <v>64</v>
      </c>
      <c r="N820" t="s">
        <v>66</v>
      </c>
      <c r="O820" t="s">
        <v>66</v>
      </c>
      <c r="P820" t="s">
        <v>66</v>
      </c>
      <c r="R820" t="s">
        <v>66</v>
      </c>
      <c r="U820" t="s">
        <v>90</v>
      </c>
      <c r="V820" t="s">
        <v>66</v>
      </c>
      <c r="W820" t="s">
        <v>66</v>
      </c>
      <c r="X820" t="s">
        <v>66</v>
      </c>
      <c r="Y820" t="s">
        <v>66</v>
      </c>
      <c r="Z820" s="99" t="str">
        <f t="shared" ca="1" si="63"/>
        <v/>
      </c>
      <c r="AA820" s="101" t="str">
        <f t="shared" ca="1" si="64"/>
        <v/>
      </c>
    </row>
    <row r="821" spans="2:27" ht="27.6" customHeight="1">
      <c r="B821">
        <f t="shared" ca="1" si="60"/>
        <v>0</v>
      </c>
      <c r="C821" t="s">
        <v>36</v>
      </c>
      <c r="G821" s="75">
        <v>1</v>
      </c>
      <c r="J821" s="66" t="str">
        <f t="shared" ca="1" si="61"/>
        <v>14%</v>
      </c>
      <c r="K821" t="s">
        <v>59</v>
      </c>
      <c r="L821" s="66" t="str">
        <f t="shared" ca="1" si="62"/>
        <v>Sin costo</v>
      </c>
      <c r="M821" t="s">
        <v>64</v>
      </c>
      <c r="N821" t="s">
        <v>66</v>
      </c>
      <c r="O821" t="s">
        <v>66</v>
      </c>
      <c r="P821" t="s">
        <v>66</v>
      </c>
      <c r="R821" t="s">
        <v>66</v>
      </c>
      <c r="U821" t="s">
        <v>90</v>
      </c>
      <c r="V821" t="s">
        <v>66</v>
      </c>
      <c r="W821" t="s">
        <v>66</v>
      </c>
      <c r="X821" t="s">
        <v>66</v>
      </c>
      <c r="Y821" t="s">
        <v>66</v>
      </c>
      <c r="Z821" s="99" t="str">
        <f t="shared" ca="1" si="63"/>
        <v/>
      </c>
      <c r="AA821" s="101" t="str">
        <f t="shared" ca="1" si="64"/>
        <v/>
      </c>
    </row>
    <row r="822" spans="2:27" ht="27.6" customHeight="1">
      <c r="B822">
        <f t="shared" ca="1" si="60"/>
        <v>0</v>
      </c>
      <c r="C822" t="s">
        <v>36</v>
      </c>
      <c r="G822" s="75">
        <v>1</v>
      </c>
      <c r="J822" s="66" t="str">
        <f t="shared" ca="1" si="61"/>
        <v>14%</v>
      </c>
      <c r="K822" t="s">
        <v>59</v>
      </c>
      <c r="L822" s="66" t="str">
        <f t="shared" ca="1" si="62"/>
        <v>Sin costo</v>
      </c>
      <c r="M822" t="s">
        <v>64</v>
      </c>
      <c r="N822" t="s">
        <v>66</v>
      </c>
      <c r="O822" t="s">
        <v>66</v>
      </c>
      <c r="P822" t="s">
        <v>66</v>
      </c>
      <c r="R822" t="s">
        <v>66</v>
      </c>
      <c r="U822" t="s">
        <v>90</v>
      </c>
      <c r="V822" t="s">
        <v>66</v>
      </c>
      <c r="W822" t="s">
        <v>66</v>
      </c>
      <c r="X822" t="s">
        <v>66</v>
      </c>
      <c r="Y822" t="s">
        <v>66</v>
      </c>
      <c r="Z822" s="99" t="str">
        <f t="shared" ca="1" si="63"/>
        <v/>
      </c>
      <c r="AA822" s="101" t="str">
        <f t="shared" ca="1" si="64"/>
        <v/>
      </c>
    </row>
    <row r="823" spans="2:27" ht="27.6" customHeight="1">
      <c r="B823">
        <f t="shared" ca="1" si="60"/>
        <v>0</v>
      </c>
      <c r="C823" t="s">
        <v>36</v>
      </c>
      <c r="G823" s="75">
        <v>1</v>
      </c>
      <c r="J823" s="66" t="str">
        <f t="shared" ca="1" si="61"/>
        <v>14%</v>
      </c>
      <c r="K823" t="s">
        <v>59</v>
      </c>
      <c r="L823" s="66" t="str">
        <f t="shared" ca="1" si="62"/>
        <v>Sin costo</v>
      </c>
      <c r="M823" t="s">
        <v>64</v>
      </c>
      <c r="N823" t="s">
        <v>66</v>
      </c>
      <c r="O823" t="s">
        <v>66</v>
      </c>
      <c r="P823" t="s">
        <v>66</v>
      </c>
      <c r="R823" t="s">
        <v>66</v>
      </c>
      <c r="U823" t="s">
        <v>90</v>
      </c>
      <c r="V823" t="s">
        <v>66</v>
      </c>
      <c r="W823" t="s">
        <v>66</v>
      </c>
      <c r="X823" t="s">
        <v>66</v>
      </c>
      <c r="Y823" t="s">
        <v>66</v>
      </c>
      <c r="Z823" s="99" t="str">
        <f t="shared" ca="1" si="63"/>
        <v/>
      </c>
      <c r="AA823" s="101" t="str">
        <f t="shared" ca="1" si="64"/>
        <v/>
      </c>
    </row>
    <row r="824" spans="2:27" ht="27.6" customHeight="1">
      <c r="B824">
        <f t="shared" ca="1" si="60"/>
        <v>0</v>
      </c>
      <c r="C824" t="s">
        <v>36</v>
      </c>
      <c r="G824" s="75">
        <v>1</v>
      </c>
      <c r="J824" s="66" t="str">
        <f t="shared" ca="1" si="61"/>
        <v>14%</v>
      </c>
      <c r="K824" t="s">
        <v>59</v>
      </c>
      <c r="L824" s="66" t="str">
        <f t="shared" ca="1" si="62"/>
        <v>Sin costo</v>
      </c>
      <c r="M824" t="s">
        <v>64</v>
      </c>
      <c r="N824" t="s">
        <v>66</v>
      </c>
      <c r="O824" t="s">
        <v>66</v>
      </c>
      <c r="P824" t="s">
        <v>66</v>
      </c>
      <c r="R824" t="s">
        <v>66</v>
      </c>
      <c r="U824" t="s">
        <v>90</v>
      </c>
      <c r="V824" t="s">
        <v>66</v>
      </c>
      <c r="W824" t="s">
        <v>66</v>
      </c>
      <c r="X824" t="s">
        <v>66</v>
      </c>
      <c r="Y824" t="s">
        <v>66</v>
      </c>
      <c r="Z824" s="99" t="str">
        <f t="shared" ca="1" si="63"/>
        <v/>
      </c>
      <c r="AA824" s="101" t="str">
        <f t="shared" ca="1" si="64"/>
        <v/>
      </c>
    </row>
    <row r="825" spans="2:27" ht="27.6" customHeight="1">
      <c r="B825">
        <f t="shared" ca="1" si="60"/>
        <v>0</v>
      </c>
      <c r="C825" t="s">
        <v>36</v>
      </c>
      <c r="G825" s="75">
        <v>1</v>
      </c>
      <c r="J825" s="66" t="str">
        <f t="shared" ca="1" si="61"/>
        <v>14%</v>
      </c>
      <c r="K825" t="s">
        <v>59</v>
      </c>
      <c r="L825" s="66" t="str">
        <f t="shared" ca="1" si="62"/>
        <v>Sin costo</v>
      </c>
      <c r="M825" t="s">
        <v>64</v>
      </c>
      <c r="N825" t="s">
        <v>66</v>
      </c>
      <c r="O825" t="s">
        <v>66</v>
      </c>
      <c r="P825" t="s">
        <v>66</v>
      </c>
      <c r="R825" t="s">
        <v>66</v>
      </c>
      <c r="U825" t="s">
        <v>90</v>
      </c>
      <c r="V825" t="s">
        <v>66</v>
      </c>
      <c r="W825" t="s">
        <v>66</v>
      </c>
      <c r="X825" t="s">
        <v>66</v>
      </c>
      <c r="Y825" t="s">
        <v>66</v>
      </c>
      <c r="Z825" s="99" t="str">
        <f t="shared" ca="1" si="63"/>
        <v/>
      </c>
      <c r="AA825" s="101" t="str">
        <f t="shared" ca="1" si="64"/>
        <v/>
      </c>
    </row>
    <row r="826" spans="2:27" ht="27.6" customHeight="1">
      <c r="B826">
        <f t="shared" ca="1" si="60"/>
        <v>0</v>
      </c>
      <c r="C826" t="s">
        <v>36</v>
      </c>
      <c r="G826" s="75">
        <v>1</v>
      </c>
      <c r="J826" s="66" t="str">
        <f t="shared" ca="1" si="61"/>
        <v>14%</v>
      </c>
      <c r="K826" t="s">
        <v>59</v>
      </c>
      <c r="L826" s="66" t="str">
        <f t="shared" ca="1" si="62"/>
        <v>Sin costo</v>
      </c>
      <c r="M826" t="s">
        <v>64</v>
      </c>
      <c r="N826" t="s">
        <v>66</v>
      </c>
      <c r="O826" t="s">
        <v>66</v>
      </c>
      <c r="P826" t="s">
        <v>66</v>
      </c>
      <c r="R826" t="s">
        <v>66</v>
      </c>
      <c r="U826" t="s">
        <v>90</v>
      </c>
      <c r="V826" t="s">
        <v>66</v>
      </c>
      <c r="W826" t="s">
        <v>66</v>
      </c>
      <c r="X826" t="s">
        <v>66</v>
      </c>
      <c r="Y826" t="s">
        <v>66</v>
      </c>
      <c r="Z826" s="99" t="str">
        <f t="shared" ca="1" si="63"/>
        <v/>
      </c>
      <c r="AA826" s="101" t="str">
        <f t="shared" ca="1" si="64"/>
        <v/>
      </c>
    </row>
    <row r="827" spans="2:27" ht="27.6" customHeight="1">
      <c r="B827">
        <f t="shared" ca="1" si="60"/>
        <v>0</v>
      </c>
      <c r="C827" t="s">
        <v>36</v>
      </c>
      <c r="G827" s="75">
        <v>1</v>
      </c>
      <c r="J827" s="66" t="str">
        <f t="shared" ca="1" si="61"/>
        <v>14%</v>
      </c>
      <c r="K827" t="s">
        <v>59</v>
      </c>
      <c r="L827" s="66" t="str">
        <f t="shared" ca="1" si="62"/>
        <v>Sin costo</v>
      </c>
      <c r="M827" t="s">
        <v>64</v>
      </c>
      <c r="N827" t="s">
        <v>66</v>
      </c>
      <c r="O827" t="s">
        <v>66</v>
      </c>
      <c r="P827" t="s">
        <v>66</v>
      </c>
      <c r="R827" t="s">
        <v>66</v>
      </c>
      <c r="U827" t="s">
        <v>90</v>
      </c>
      <c r="V827" t="s">
        <v>66</v>
      </c>
      <c r="W827" t="s">
        <v>66</v>
      </c>
      <c r="X827" t="s">
        <v>66</v>
      </c>
      <c r="Y827" t="s">
        <v>66</v>
      </c>
      <c r="Z827" s="99" t="str">
        <f t="shared" ca="1" si="63"/>
        <v/>
      </c>
      <c r="AA827" s="101" t="str">
        <f t="shared" ca="1" si="64"/>
        <v/>
      </c>
    </row>
    <row r="828" spans="2:27" ht="27.6" customHeight="1">
      <c r="B828">
        <f t="shared" ca="1" si="60"/>
        <v>0</v>
      </c>
      <c r="C828" t="s">
        <v>36</v>
      </c>
      <c r="G828" s="75">
        <v>1</v>
      </c>
      <c r="J828" s="66" t="str">
        <f t="shared" ca="1" si="61"/>
        <v>14%</v>
      </c>
      <c r="K828" t="s">
        <v>59</v>
      </c>
      <c r="L828" s="66" t="str">
        <f t="shared" ca="1" si="62"/>
        <v>Sin costo</v>
      </c>
      <c r="M828" t="s">
        <v>64</v>
      </c>
      <c r="N828" t="s">
        <v>66</v>
      </c>
      <c r="O828" t="s">
        <v>66</v>
      </c>
      <c r="P828" t="s">
        <v>66</v>
      </c>
      <c r="R828" t="s">
        <v>66</v>
      </c>
      <c r="U828" t="s">
        <v>90</v>
      </c>
      <c r="V828" t="s">
        <v>66</v>
      </c>
      <c r="W828" t="s">
        <v>66</v>
      </c>
      <c r="X828" t="s">
        <v>66</v>
      </c>
      <c r="Y828" t="s">
        <v>66</v>
      </c>
      <c r="Z828" s="99" t="str">
        <f t="shared" ca="1" si="63"/>
        <v/>
      </c>
      <c r="AA828" s="101" t="str">
        <f t="shared" ca="1" si="64"/>
        <v/>
      </c>
    </row>
    <row r="829" spans="2:27" ht="27.6" customHeight="1">
      <c r="B829">
        <f t="shared" ca="1" si="60"/>
        <v>0</v>
      </c>
      <c r="C829" t="s">
        <v>36</v>
      </c>
      <c r="G829" s="75">
        <v>1</v>
      </c>
      <c r="J829" s="66" t="str">
        <f t="shared" ca="1" si="61"/>
        <v>14%</v>
      </c>
      <c r="K829" t="s">
        <v>59</v>
      </c>
      <c r="L829" s="66" t="str">
        <f t="shared" ca="1" si="62"/>
        <v>Sin costo</v>
      </c>
      <c r="M829" t="s">
        <v>64</v>
      </c>
      <c r="N829" t="s">
        <v>66</v>
      </c>
      <c r="O829" t="s">
        <v>66</v>
      </c>
      <c r="P829" t="s">
        <v>66</v>
      </c>
      <c r="R829" t="s">
        <v>66</v>
      </c>
      <c r="U829" t="s">
        <v>90</v>
      </c>
      <c r="V829" t="s">
        <v>66</v>
      </c>
      <c r="W829" t="s">
        <v>66</v>
      </c>
      <c r="X829" t="s">
        <v>66</v>
      </c>
      <c r="Y829" t="s">
        <v>66</v>
      </c>
      <c r="Z829" s="99" t="str">
        <f t="shared" ca="1" si="63"/>
        <v/>
      </c>
      <c r="AA829" s="101" t="str">
        <f t="shared" ca="1" si="64"/>
        <v/>
      </c>
    </row>
    <row r="830" spans="2:27" ht="27.6" customHeight="1">
      <c r="B830">
        <f t="shared" ca="1" si="60"/>
        <v>0</v>
      </c>
      <c r="C830" t="s">
        <v>36</v>
      </c>
      <c r="G830" s="75">
        <v>1</v>
      </c>
      <c r="J830" s="66" t="str">
        <f t="shared" ca="1" si="61"/>
        <v>14%</v>
      </c>
      <c r="K830" t="s">
        <v>59</v>
      </c>
      <c r="L830" s="66" t="str">
        <f t="shared" ca="1" si="62"/>
        <v>Sin costo</v>
      </c>
      <c r="M830" t="s">
        <v>64</v>
      </c>
      <c r="N830" t="s">
        <v>66</v>
      </c>
      <c r="O830" t="s">
        <v>66</v>
      </c>
      <c r="P830" t="s">
        <v>66</v>
      </c>
      <c r="R830" t="s">
        <v>66</v>
      </c>
      <c r="U830" t="s">
        <v>90</v>
      </c>
      <c r="V830" t="s">
        <v>66</v>
      </c>
      <c r="W830" t="s">
        <v>66</v>
      </c>
      <c r="X830" t="s">
        <v>66</v>
      </c>
      <c r="Y830" t="s">
        <v>66</v>
      </c>
      <c r="Z830" s="99" t="str">
        <f t="shared" ca="1" si="63"/>
        <v/>
      </c>
      <c r="AA830" s="101" t="str">
        <f t="shared" ca="1" si="64"/>
        <v/>
      </c>
    </row>
    <row r="831" spans="2:27" ht="27.6" customHeight="1">
      <c r="B831">
        <f t="shared" ca="1" si="60"/>
        <v>0</v>
      </c>
      <c r="C831" t="s">
        <v>36</v>
      </c>
      <c r="G831" s="75">
        <v>1</v>
      </c>
      <c r="J831" s="66" t="str">
        <f t="shared" ca="1" si="61"/>
        <v>14%</v>
      </c>
      <c r="K831" t="s">
        <v>59</v>
      </c>
      <c r="L831" s="66" t="str">
        <f t="shared" ca="1" si="62"/>
        <v>Sin costo</v>
      </c>
      <c r="M831" t="s">
        <v>64</v>
      </c>
      <c r="N831" t="s">
        <v>66</v>
      </c>
      <c r="O831" t="s">
        <v>66</v>
      </c>
      <c r="P831" t="s">
        <v>66</v>
      </c>
      <c r="R831" t="s">
        <v>66</v>
      </c>
      <c r="U831" t="s">
        <v>90</v>
      </c>
      <c r="V831" t="s">
        <v>66</v>
      </c>
      <c r="W831" t="s">
        <v>66</v>
      </c>
      <c r="X831" t="s">
        <v>66</v>
      </c>
      <c r="Y831" t="s">
        <v>66</v>
      </c>
      <c r="Z831" s="99" t="str">
        <f t="shared" ca="1" si="63"/>
        <v/>
      </c>
      <c r="AA831" s="101" t="str">
        <f t="shared" ca="1" si="64"/>
        <v/>
      </c>
    </row>
    <row r="832" spans="2:27" ht="27.6" customHeight="1">
      <c r="B832">
        <f t="shared" ca="1" si="60"/>
        <v>0</v>
      </c>
      <c r="C832" t="s">
        <v>36</v>
      </c>
      <c r="G832" s="75">
        <v>1</v>
      </c>
      <c r="J832" s="66" t="str">
        <f t="shared" ca="1" si="61"/>
        <v>14%</v>
      </c>
      <c r="K832" t="s">
        <v>59</v>
      </c>
      <c r="L832" s="66" t="str">
        <f t="shared" ca="1" si="62"/>
        <v>Sin costo</v>
      </c>
      <c r="M832" t="s">
        <v>64</v>
      </c>
      <c r="N832" t="s">
        <v>66</v>
      </c>
      <c r="O832" t="s">
        <v>66</v>
      </c>
      <c r="P832" t="s">
        <v>66</v>
      </c>
      <c r="R832" t="s">
        <v>66</v>
      </c>
      <c r="U832" t="s">
        <v>90</v>
      </c>
      <c r="V832" t="s">
        <v>66</v>
      </c>
      <c r="W832" t="s">
        <v>66</v>
      </c>
      <c r="X832" t="s">
        <v>66</v>
      </c>
      <c r="Y832" t="s">
        <v>66</v>
      </c>
      <c r="Z832" s="99" t="str">
        <f t="shared" ca="1" si="63"/>
        <v/>
      </c>
      <c r="AA832" s="101" t="str">
        <f t="shared" ca="1" si="64"/>
        <v/>
      </c>
    </row>
    <row r="833" spans="2:27" ht="27.6" customHeight="1">
      <c r="B833">
        <f t="shared" ca="1" si="60"/>
        <v>0</v>
      </c>
      <c r="C833" t="s">
        <v>36</v>
      </c>
      <c r="G833" s="75">
        <v>1</v>
      </c>
      <c r="J833" s="66" t="str">
        <f t="shared" ca="1" si="61"/>
        <v>14%</v>
      </c>
      <c r="K833" t="s">
        <v>59</v>
      </c>
      <c r="L833" s="66" t="str">
        <f t="shared" ca="1" si="62"/>
        <v>Sin costo</v>
      </c>
      <c r="M833" t="s">
        <v>64</v>
      </c>
      <c r="N833" t="s">
        <v>66</v>
      </c>
      <c r="O833" t="s">
        <v>66</v>
      </c>
      <c r="P833" t="s">
        <v>66</v>
      </c>
      <c r="R833" t="s">
        <v>66</v>
      </c>
      <c r="U833" t="s">
        <v>90</v>
      </c>
      <c r="V833" t="s">
        <v>66</v>
      </c>
      <c r="W833" t="s">
        <v>66</v>
      </c>
      <c r="X833" t="s">
        <v>66</v>
      </c>
      <c r="Y833" t="s">
        <v>66</v>
      </c>
      <c r="Z833" s="99" t="str">
        <f t="shared" ca="1" si="63"/>
        <v/>
      </c>
      <c r="AA833" s="101" t="str">
        <f t="shared" ca="1" si="64"/>
        <v/>
      </c>
    </row>
    <row r="834" spans="2:27" ht="27.6" customHeight="1">
      <c r="B834">
        <f t="shared" ca="1" si="60"/>
        <v>0</v>
      </c>
      <c r="C834" t="s">
        <v>36</v>
      </c>
      <c r="G834" s="75">
        <v>1</v>
      </c>
      <c r="J834" s="66" t="str">
        <f t="shared" ca="1" si="61"/>
        <v>14%</v>
      </c>
      <c r="K834" t="s">
        <v>59</v>
      </c>
      <c r="L834" s="66" t="str">
        <f t="shared" ca="1" si="62"/>
        <v>Sin costo</v>
      </c>
      <c r="M834" t="s">
        <v>64</v>
      </c>
      <c r="N834" t="s">
        <v>66</v>
      </c>
      <c r="O834" t="s">
        <v>66</v>
      </c>
      <c r="P834" t="s">
        <v>66</v>
      </c>
      <c r="R834" t="s">
        <v>66</v>
      </c>
      <c r="U834" t="s">
        <v>90</v>
      </c>
      <c r="V834" t="s">
        <v>66</v>
      </c>
      <c r="W834" t="s">
        <v>66</v>
      </c>
      <c r="X834" t="s">
        <v>66</v>
      </c>
      <c r="Y834" t="s">
        <v>66</v>
      </c>
      <c r="Z834" s="99" t="str">
        <f t="shared" ca="1" si="63"/>
        <v/>
      </c>
      <c r="AA834" s="101" t="str">
        <f t="shared" ca="1" si="64"/>
        <v/>
      </c>
    </row>
    <row r="835" spans="2:27" ht="27.6" customHeight="1">
      <c r="B835">
        <f t="shared" ca="1" si="60"/>
        <v>0</v>
      </c>
      <c r="C835" t="s">
        <v>36</v>
      </c>
      <c r="G835" s="75">
        <v>1</v>
      </c>
      <c r="J835" s="66" t="str">
        <f t="shared" ca="1" si="61"/>
        <v>14%</v>
      </c>
      <c r="K835" t="s">
        <v>59</v>
      </c>
      <c r="L835" s="66" t="str">
        <f t="shared" ca="1" si="62"/>
        <v>Sin costo</v>
      </c>
      <c r="M835" t="s">
        <v>64</v>
      </c>
      <c r="N835" t="s">
        <v>66</v>
      </c>
      <c r="O835" t="s">
        <v>66</v>
      </c>
      <c r="P835" t="s">
        <v>66</v>
      </c>
      <c r="R835" t="s">
        <v>66</v>
      </c>
      <c r="U835" t="s">
        <v>90</v>
      </c>
      <c r="V835" t="s">
        <v>66</v>
      </c>
      <c r="W835" t="s">
        <v>66</v>
      </c>
      <c r="X835" t="s">
        <v>66</v>
      </c>
      <c r="Y835" t="s">
        <v>66</v>
      </c>
      <c r="Z835" s="99" t="str">
        <f t="shared" ca="1" si="63"/>
        <v/>
      </c>
      <c r="AA835" s="101" t="str">
        <f t="shared" ca="1" si="64"/>
        <v/>
      </c>
    </row>
    <row r="836" spans="2:27" ht="27.6" customHeight="1">
      <c r="B836">
        <f t="shared" ca="1" si="60"/>
        <v>0</v>
      </c>
      <c r="C836" t="s">
        <v>36</v>
      </c>
      <c r="G836" s="75">
        <v>1</v>
      </c>
      <c r="J836" s="66" t="str">
        <f t="shared" ca="1" si="61"/>
        <v>14%</v>
      </c>
      <c r="K836" t="s">
        <v>59</v>
      </c>
      <c r="L836" s="66" t="str">
        <f t="shared" ca="1" si="62"/>
        <v>Sin costo</v>
      </c>
      <c r="M836" t="s">
        <v>64</v>
      </c>
      <c r="N836" t="s">
        <v>66</v>
      </c>
      <c r="O836" t="s">
        <v>66</v>
      </c>
      <c r="P836" t="s">
        <v>66</v>
      </c>
      <c r="R836" t="s">
        <v>66</v>
      </c>
      <c r="U836" t="s">
        <v>90</v>
      </c>
      <c r="V836" t="s">
        <v>66</v>
      </c>
      <c r="W836" t="s">
        <v>66</v>
      </c>
      <c r="X836" t="s">
        <v>66</v>
      </c>
      <c r="Y836" t="s">
        <v>66</v>
      </c>
      <c r="Z836" s="99" t="str">
        <f t="shared" ca="1" si="63"/>
        <v/>
      </c>
      <c r="AA836" s="101" t="str">
        <f t="shared" ca="1" si="64"/>
        <v/>
      </c>
    </row>
    <row r="837" spans="2:27" ht="27.6" customHeight="1">
      <c r="B837">
        <f t="shared" ca="1" si="60"/>
        <v>0</v>
      </c>
      <c r="C837" t="s">
        <v>36</v>
      </c>
      <c r="G837" s="75">
        <v>1</v>
      </c>
      <c r="J837" s="66" t="str">
        <f t="shared" ca="1" si="61"/>
        <v>14%</v>
      </c>
      <c r="K837" t="s">
        <v>59</v>
      </c>
      <c r="L837" s="66" t="str">
        <f t="shared" ca="1" si="62"/>
        <v>Sin costo</v>
      </c>
      <c r="M837" t="s">
        <v>64</v>
      </c>
      <c r="N837" t="s">
        <v>66</v>
      </c>
      <c r="O837" t="s">
        <v>66</v>
      </c>
      <c r="P837" t="s">
        <v>66</v>
      </c>
      <c r="R837" t="s">
        <v>66</v>
      </c>
      <c r="U837" t="s">
        <v>90</v>
      </c>
      <c r="V837" t="s">
        <v>66</v>
      </c>
      <c r="W837" t="s">
        <v>66</v>
      </c>
      <c r="X837" t="s">
        <v>66</v>
      </c>
      <c r="Y837" t="s">
        <v>66</v>
      </c>
      <c r="Z837" s="99" t="str">
        <f t="shared" ca="1" si="63"/>
        <v/>
      </c>
      <c r="AA837" s="101" t="str">
        <f t="shared" ca="1" si="64"/>
        <v/>
      </c>
    </row>
    <row r="838" spans="2:27" ht="27.6" customHeight="1">
      <c r="B838">
        <f t="shared" ca="1" si="60"/>
        <v>0</v>
      </c>
      <c r="C838" t="s">
        <v>36</v>
      </c>
      <c r="G838" s="75">
        <v>1</v>
      </c>
      <c r="J838" s="66" t="str">
        <f t="shared" ca="1" si="61"/>
        <v>14%</v>
      </c>
      <c r="K838" t="s">
        <v>59</v>
      </c>
      <c r="L838" s="66" t="str">
        <f t="shared" ca="1" si="62"/>
        <v>Sin costo</v>
      </c>
      <c r="M838" t="s">
        <v>64</v>
      </c>
      <c r="N838" t="s">
        <v>66</v>
      </c>
      <c r="O838" t="s">
        <v>66</v>
      </c>
      <c r="P838" t="s">
        <v>66</v>
      </c>
      <c r="R838" t="s">
        <v>66</v>
      </c>
      <c r="U838" t="s">
        <v>90</v>
      </c>
      <c r="V838" t="s">
        <v>66</v>
      </c>
      <c r="W838" t="s">
        <v>66</v>
      </c>
      <c r="X838" t="s">
        <v>66</v>
      </c>
      <c r="Y838" t="s">
        <v>66</v>
      </c>
      <c r="Z838" s="99" t="str">
        <f t="shared" ca="1" si="63"/>
        <v/>
      </c>
      <c r="AA838" s="101" t="str">
        <f t="shared" ca="1" si="64"/>
        <v/>
      </c>
    </row>
    <row r="839" spans="2:27" ht="27.6" customHeight="1">
      <c r="B839">
        <f t="shared" ref="B839:B902" ca="1" si="65">LEN(INDIRECT(ADDRESS(ROW() + (0),COLUMN() + (-1))))</f>
        <v>0</v>
      </c>
      <c r="C839" t="s">
        <v>36</v>
      </c>
      <c r="G839" s="75">
        <v>1</v>
      </c>
      <c r="J839" s="66" t="str">
        <f t="shared" ref="J839:J902" ca="1" si="66">IF(INDIRECT(ADDRESS(ROW() + (0),COLUMN() + (1)))="Agregar cuotas", IF(("14%")="", "-", "14%"), IF(INDIRECT(ADDRESS(ROW() + (0),COLUMN() + (1)))="No agregar cuotas", IF(("14%")="", "-", "14%"), "-"))</f>
        <v>14%</v>
      </c>
      <c r="K839" t="s">
        <v>59</v>
      </c>
      <c r="L839" s="66" t="str">
        <f t="shared" ref="L839:L902" ca="1" si="67">IF(INDIRECT(ADDRESS(ROW() + (0),COLUMN() + (-1)))="Agregar cuotas", IF(("13.9%")="", "Sin costo", "13.9%"), IF(INDIRECT(ADDRESS(ROW() + (0),COLUMN() + (-1)))="No agregar cuotas", IF(("")="", "Sin costo", ""), "-"))</f>
        <v>Sin costo</v>
      </c>
      <c r="M839" t="s">
        <v>64</v>
      </c>
      <c r="N839" t="s">
        <v>66</v>
      </c>
      <c r="O839" t="s">
        <v>66</v>
      </c>
      <c r="P839" t="s">
        <v>66</v>
      </c>
      <c r="R839" t="s">
        <v>66</v>
      </c>
      <c r="U839" t="s">
        <v>90</v>
      </c>
      <c r="V839" t="s">
        <v>66</v>
      </c>
      <c r="W839" t="s">
        <v>66</v>
      </c>
      <c r="X839" t="s">
        <v>66</v>
      </c>
      <c r="Y839" t="s">
        <v>66</v>
      </c>
      <c r="Z839" s="99" t="str">
        <f t="shared" ref="Z839:Z902" ca="1" si="6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839" s="101" t="str">
        <f t="shared" ref="AA839:AA902" ca="1" si="69">IF(TRIM(INDIRECT("A"&amp;ROW())) &lt;&gt; "",FALSE,"")</f>
        <v/>
      </c>
    </row>
    <row r="840" spans="2:27" ht="27.6" customHeight="1">
      <c r="B840">
        <f t="shared" ca="1" si="65"/>
        <v>0</v>
      </c>
      <c r="C840" t="s">
        <v>36</v>
      </c>
      <c r="G840" s="75">
        <v>1</v>
      </c>
      <c r="J840" s="66" t="str">
        <f t="shared" ca="1" si="66"/>
        <v>14%</v>
      </c>
      <c r="K840" t="s">
        <v>59</v>
      </c>
      <c r="L840" s="66" t="str">
        <f t="shared" ca="1" si="67"/>
        <v>Sin costo</v>
      </c>
      <c r="M840" t="s">
        <v>64</v>
      </c>
      <c r="N840" t="s">
        <v>66</v>
      </c>
      <c r="O840" t="s">
        <v>66</v>
      </c>
      <c r="P840" t="s">
        <v>66</v>
      </c>
      <c r="R840" t="s">
        <v>66</v>
      </c>
      <c r="U840" t="s">
        <v>90</v>
      </c>
      <c r="V840" t="s">
        <v>66</v>
      </c>
      <c r="W840" t="s">
        <v>66</v>
      </c>
      <c r="X840" t="s">
        <v>66</v>
      </c>
      <c r="Y840" t="s">
        <v>66</v>
      </c>
      <c r="Z840" s="99" t="str">
        <f t="shared" ca="1" si="68"/>
        <v/>
      </c>
      <c r="AA840" s="101" t="str">
        <f t="shared" ca="1" si="69"/>
        <v/>
      </c>
    </row>
    <row r="841" spans="2:27" ht="27.6" customHeight="1">
      <c r="B841">
        <f t="shared" ca="1" si="65"/>
        <v>0</v>
      </c>
      <c r="C841" t="s">
        <v>36</v>
      </c>
      <c r="G841" s="75">
        <v>1</v>
      </c>
      <c r="J841" s="66" t="str">
        <f t="shared" ca="1" si="66"/>
        <v>14%</v>
      </c>
      <c r="K841" t="s">
        <v>59</v>
      </c>
      <c r="L841" s="66" t="str">
        <f t="shared" ca="1" si="67"/>
        <v>Sin costo</v>
      </c>
      <c r="M841" t="s">
        <v>64</v>
      </c>
      <c r="N841" t="s">
        <v>66</v>
      </c>
      <c r="O841" t="s">
        <v>66</v>
      </c>
      <c r="P841" t="s">
        <v>66</v>
      </c>
      <c r="R841" t="s">
        <v>66</v>
      </c>
      <c r="U841" t="s">
        <v>90</v>
      </c>
      <c r="V841" t="s">
        <v>66</v>
      </c>
      <c r="W841" t="s">
        <v>66</v>
      </c>
      <c r="X841" t="s">
        <v>66</v>
      </c>
      <c r="Y841" t="s">
        <v>66</v>
      </c>
      <c r="Z841" s="99" t="str">
        <f t="shared" ca="1" si="68"/>
        <v/>
      </c>
      <c r="AA841" s="101" t="str">
        <f t="shared" ca="1" si="69"/>
        <v/>
      </c>
    </row>
    <row r="842" spans="2:27" ht="27.6" customHeight="1">
      <c r="B842">
        <f t="shared" ca="1" si="65"/>
        <v>0</v>
      </c>
      <c r="C842" t="s">
        <v>36</v>
      </c>
      <c r="G842" s="75">
        <v>1</v>
      </c>
      <c r="J842" s="66" t="str">
        <f t="shared" ca="1" si="66"/>
        <v>14%</v>
      </c>
      <c r="K842" t="s">
        <v>59</v>
      </c>
      <c r="L842" s="66" t="str">
        <f t="shared" ca="1" si="67"/>
        <v>Sin costo</v>
      </c>
      <c r="M842" t="s">
        <v>64</v>
      </c>
      <c r="N842" t="s">
        <v>66</v>
      </c>
      <c r="O842" t="s">
        <v>66</v>
      </c>
      <c r="P842" t="s">
        <v>66</v>
      </c>
      <c r="R842" t="s">
        <v>66</v>
      </c>
      <c r="U842" t="s">
        <v>90</v>
      </c>
      <c r="V842" t="s">
        <v>66</v>
      </c>
      <c r="W842" t="s">
        <v>66</v>
      </c>
      <c r="X842" t="s">
        <v>66</v>
      </c>
      <c r="Y842" t="s">
        <v>66</v>
      </c>
      <c r="Z842" s="99" t="str">
        <f t="shared" ca="1" si="68"/>
        <v/>
      </c>
      <c r="AA842" s="101" t="str">
        <f t="shared" ca="1" si="69"/>
        <v/>
      </c>
    </row>
    <row r="843" spans="2:27" ht="27.6" customHeight="1">
      <c r="B843">
        <f t="shared" ca="1" si="65"/>
        <v>0</v>
      </c>
      <c r="C843" t="s">
        <v>36</v>
      </c>
      <c r="G843" s="75">
        <v>1</v>
      </c>
      <c r="J843" s="66" t="str">
        <f t="shared" ca="1" si="66"/>
        <v>14%</v>
      </c>
      <c r="K843" t="s">
        <v>59</v>
      </c>
      <c r="L843" s="66" t="str">
        <f t="shared" ca="1" si="67"/>
        <v>Sin costo</v>
      </c>
      <c r="M843" t="s">
        <v>64</v>
      </c>
      <c r="N843" t="s">
        <v>66</v>
      </c>
      <c r="O843" t="s">
        <v>66</v>
      </c>
      <c r="P843" t="s">
        <v>66</v>
      </c>
      <c r="R843" t="s">
        <v>66</v>
      </c>
      <c r="U843" t="s">
        <v>90</v>
      </c>
      <c r="V843" t="s">
        <v>66</v>
      </c>
      <c r="W843" t="s">
        <v>66</v>
      </c>
      <c r="X843" t="s">
        <v>66</v>
      </c>
      <c r="Y843" t="s">
        <v>66</v>
      </c>
      <c r="Z843" s="99" t="str">
        <f t="shared" ca="1" si="68"/>
        <v/>
      </c>
      <c r="AA843" s="101" t="str">
        <f t="shared" ca="1" si="69"/>
        <v/>
      </c>
    </row>
    <row r="844" spans="2:27" ht="27.6" customHeight="1">
      <c r="B844">
        <f t="shared" ca="1" si="65"/>
        <v>0</v>
      </c>
      <c r="C844" t="s">
        <v>36</v>
      </c>
      <c r="G844" s="75">
        <v>1</v>
      </c>
      <c r="J844" s="66" t="str">
        <f t="shared" ca="1" si="66"/>
        <v>14%</v>
      </c>
      <c r="K844" t="s">
        <v>59</v>
      </c>
      <c r="L844" s="66" t="str">
        <f t="shared" ca="1" si="67"/>
        <v>Sin costo</v>
      </c>
      <c r="M844" t="s">
        <v>64</v>
      </c>
      <c r="N844" t="s">
        <v>66</v>
      </c>
      <c r="O844" t="s">
        <v>66</v>
      </c>
      <c r="P844" t="s">
        <v>66</v>
      </c>
      <c r="R844" t="s">
        <v>66</v>
      </c>
      <c r="U844" t="s">
        <v>90</v>
      </c>
      <c r="V844" t="s">
        <v>66</v>
      </c>
      <c r="W844" t="s">
        <v>66</v>
      </c>
      <c r="X844" t="s">
        <v>66</v>
      </c>
      <c r="Y844" t="s">
        <v>66</v>
      </c>
      <c r="Z844" s="99" t="str">
        <f t="shared" ca="1" si="68"/>
        <v/>
      </c>
      <c r="AA844" s="101" t="str">
        <f t="shared" ca="1" si="69"/>
        <v/>
      </c>
    </row>
    <row r="845" spans="2:27" ht="27.6" customHeight="1">
      <c r="B845">
        <f t="shared" ca="1" si="65"/>
        <v>0</v>
      </c>
      <c r="C845" t="s">
        <v>36</v>
      </c>
      <c r="G845" s="75">
        <v>1</v>
      </c>
      <c r="J845" s="66" t="str">
        <f t="shared" ca="1" si="66"/>
        <v>14%</v>
      </c>
      <c r="K845" t="s">
        <v>59</v>
      </c>
      <c r="L845" s="66" t="str">
        <f t="shared" ca="1" si="67"/>
        <v>Sin costo</v>
      </c>
      <c r="M845" t="s">
        <v>64</v>
      </c>
      <c r="N845" t="s">
        <v>66</v>
      </c>
      <c r="O845" t="s">
        <v>66</v>
      </c>
      <c r="P845" t="s">
        <v>66</v>
      </c>
      <c r="R845" t="s">
        <v>66</v>
      </c>
      <c r="U845" t="s">
        <v>90</v>
      </c>
      <c r="V845" t="s">
        <v>66</v>
      </c>
      <c r="W845" t="s">
        <v>66</v>
      </c>
      <c r="X845" t="s">
        <v>66</v>
      </c>
      <c r="Y845" t="s">
        <v>66</v>
      </c>
      <c r="Z845" s="99" t="str">
        <f t="shared" ca="1" si="68"/>
        <v/>
      </c>
      <c r="AA845" s="101" t="str">
        <f t="shared" ca="1" si="69"/>
        <v/>
      </c>
    </row>
    <row r="846" spans="2:27" ht="27.6" customHeight="1">
      <c r="B846">
        <f t="shared" ca="1" si="65"/>
        <v>0</v>
      </c>
      <c r="C846" t="s">
        <v>36</v>
      </c>
      <c r="G846" s="75">
        <v>1</v>
      </c>
      <c r="J846" s="66" t="str">
        <f t="shared" ca="1" si="66"/>
        <v>14%</v>
      </c>
      <c r="K846" t="s">
        <v>59</v>
      </c>
      <c r="L846" s="66" t="str">
        <f t="shared" ca="1" si="67"/>
        <v>Sin costo</v>
      </c>
      <c r="M846" t="s">
        <v>64</v>
      </c>
      <c r="N846" t="s">
        <v>66</v>
      </c>
      <c r="O846" t="s">
        <v>66</v>
      </c>
      <c r="P846" t="s">
        <v>66</v>
      </c>
      <c r="R846" t="s">
        <v>66</v>
      </c>
      <c r="U846" t="s">
        <v>90</v>
      </c>
      <c r="V846" t="s">
        <v>66</v>
      </c>
      <c r="W846" t="s">
        <v>66</v>
      </c>
      <c r="X846" t="s">
        <v>66</v>
      </c>
      <c r="Y846" t="s">
        <v>66</v>
      </c>
      <c r="Z846" s="99" t="str">
        <f t="shared" ca="1" si="68"/>
        <v/>
      </c>
      <c r="AA846" s="101" t="str">
        <f t="shared" ca="1" si="69"/>
        <v/>
      </c>
    </row>
    <row r="847" spans="2:27" ht="27.6" customHeight="1">
      <c r="B847">
        <f t="shared" ca="1" si="65"/>
        <v>0</v>
      </c>
      <c r="C847" t="s">
        <v>36</v>
      </c>
      <c r="G847" s="75">
        <v>1</v>
      </c>
      <c r="J847" s="66" t="str">
        <f t="shared" ca="1" si="66"/>
        <v>14%</v>
      </c>
      <c r="K847" t="s">
        <v>59</v>
      </c>
      <c r="L847" s="66" t="str">
        <f t="shared" ca="1" si="67"/>
        <v>Sin costo</v>
      </c>
      <c r="M847" t="s">
        <v>64</v>
      </c>
      <c r="N847" t="s">
        <v>66</v>
      </c>
      <c r="O847" t="s">
        <v>66</v>
      </c>
      <c r="P847" t="s">
        <v>66</v>
      </c>
      <c r="R847" t="s">
        <v>66</v>
      </c>
      <c r="U847" t="s">
        <v>90</v>
      </c>
      <c r="V847" t="s">
        <v>66</v>
      </c>
      <c r="W847" t="s">
        <v>66</v>
      </c>
      <c r="X847" t="s">
        <v>66</v>
      </c>
      <c r="Y847" t="s">
        <v>66</v>
      </c>
      <c r="Z847" s="99" t="str">
        <f t="shared" ca="1" si="68"/>
        <v/>
      </c>
      <c r="AA847" s="101" t="str">
        <f t="shared" ca="1" si="69"/>
        <v/>
      </c>
    </row>
    <row r="848" spans="2:27" ht="27.6" customHeight="1">
      <c r="B848">
        <f t="shared" ca="1" si="65"/>
        <v>0</v>
      </c>
      <c r="C848" t="s">
        <v>36</v>
      </c>
      <c r="G848" s="75">
        <v>1</v>
      </c>
      <c r="J848" s="66" t="str">
        <f t="shared" ca="1" si="66"/>
        <v>14%</v>
      </c>
      <c r="K848" t="s">
        <v>59</v>
      </c>
      <c r="L848" s="66" t="str">
        <f t="shared" ca="1" si="67"/>
        <v>Sin costo</v>
      </c>
      <c r="M848" t="s">
        <v>64</v>
      </c>
      <c r="N848" t="s">
        <v>66</v>
      </c>
      <c r="O848" t="s">
        <v>66</v>
      </c>
      <c r="P848" t="s">
        <v>66</v>
      </c>
      <c r="R848" t="s">
        <v>66</v>
      </c>
      <c r="U848" t="s">
        <v>90</v>
      </c>
      <c r="V848" t="s">
        <v>66</v>
      </c>
      <c r="W848" t="s">
        <v>66</v>
      </c>
      <c r="X848" t="s">
        <v>66</v>
      </c>
      <c r="Y848" t="s">
        <v>66</v>
      </c>
      <c r="Z848" s="99" t="str">
        <f t="shared" ca="1" si="68"/>
        <v/>
      </c>
      <c r="AA848" s="101" t="str">
        <f t="shared" ca="1" si="69"/>
        <v/>
      </c>
    </row>
    <row r="849" spans="2:27" ht="27.6" customHeight="1">
      <c r="B849">
        <f t="shared" ca="1" si="65"/>
        <v>0</v>
      </c>
      <c r="C849" t="s">
        <v>36</v>
      </c>
      <c r="G849" s="75">
        <v>1</v>
      </c>
      <c r="J849" s="66" t="str">
        <f t="shared" ca="1" si="66"/>
        <v>14%</v>
      </c>
      <c r="K849" t="s">
        <v>59</v>
      </c>
      <c r="L849" s="66" t="str">
        <f t="shared" ca="1" si="67"/>
        <v>Sin costo</v>
      </c>
      <c r="M849" t="s">
        <v>64</v>
      </c>
      <c r="N849" t="s">
        <v>66</v>
      </c>
      <c r="O849" t="s">
        <v>66</v>
      </c>
      <c r="P849" t="s">
        <v>66</v>
      </c>
      <c r="R849" t="s">
        <v>66</v>
      </c>
      <c r="U849" t="s">
        <v>90</v>
      </c>
      <c r="V849" t="s">
        <v>66</v>
      </c>
      <c r="W849" t="s">
        <v>66</v>
      </c>
      <c r="X849" t="s">
        <v>66</v>
      </c>
      <c r="Y849" t="s">
        <v>66</v>
      </c>
      <c r="Z849" s="99" t="str">
        <f t="shared" ca="1" si="68"/>
        <v/>
      </c>
      <c r="AA849" s="101" t="str">
        <f t="shared" ca="1" si="69"/>
        <v/>
      </c>
    </row>
    <row r="850" spans="2:27" ht="27.6" customHeight="1">
      <c r="B850">
        <f t="shared" ca="1" si="65"/>
        <v>0</v>
      </c>
      <c r="C850" t="s">
        <v>36</v>
      </c>
      <c r="G850" s="75">
        <v>1</v>
      </c>
      <c r="J850" s="66" t="str">
        <f t="shared" ca="1" si="66"/>
        <v>14%</v>
      </c>
      <c r="K850" t="s">
        <v>59</v>
      </c>
      <c r="L850" s="66" t="str">
        <f t="shared" ca="1" si="67"/>
        <v>Sin costo</v>
      </c>
      <c r="M850" t="s">
        <v>64</v>
      </c>
      <c r="N850" t="s">
        <v>66</v>
      </c>
      <c r="O850" t="s">
        <v>66</v>
      </c>
      <c r="P850" t="s">
        <v>66</v>
      </c>
      <c r="R850" t="s">
        <v>66</v>
      </c>
      <c r="U850" t="s">
        <v>90</v>
      </c>
      <c r="V850" t="s">
        <v>66</v>
      </c>
      <c r="W850" t="s">
        <v>66</v>
      </c>
      <c r="X850" t="s">
        <v>66</v>
      </c>
      <c r="Y850" t="s">
        <v>66</v>
      </c>
      <c r="Z850" s="99" t="str">
        <f t="shared" ca="1" si="68"/>
        <v/>
      </c>
      <c r="AA850" s="101" t="str">
        <f t="shared" ca="1" si="69"/>
        <v/>
      </c>
    </row>
    <row r="851" spans="2:27" ht="27.6" customHeight="1">
      <c r="B851">
        <f t="shared" ca="1" si="65"/>
        <v>0</v>
      </c>
      <c r="C851" t="s">
        <v>36</v>
      </c>
      <c r="G851" s="75">
        <v>1</v>
      </c>
      <c r="J851" s="66" t="str">
        <f t="shared" ca="1" si="66"/>
        <v>14%</v>
      </c>
      <c r="K851" t="s">
        <v>59</v>
      </c>
      <c r="L851" s="66" t="str">
        <f t="shared" ca="1" si="67"/>
        <v>Sin costo</v>
      </c>
      <c r="M851" t="s">
        <v>64</v>
      </c>
      <c r="N851" t="s">
        <v>66</v>
      </c>
      <c r="O851" t="s">
        <v>66</v>
      </c>
      <c r="P851" t="s">
        <v>66</v>
      </c>
      <c r="R851" t="s">
        <v>66</v>
      </c>
      <c r="U851" t="s">
        <v>90</v>
      </c>
      <c r="V851" t="s">
        <v>66</v>
      </c>
      <c r="W851" t="s">
        <v>66</v>
      </c>
      <c r="X851" t="s">
        <v>66</v>
      </c>
      <c r="Y851" t="s">
        <v>66</v>
      </c>
      <c r="Z851" s="99" t="str">
        <f t="shared" ca="1" si="68"/>
        <v/>
      </c>
      <c r="AA851" s="101" t="str">
        <f t="shared" ca="1" si="69"/>
        <v/>
      </c>
    </row>
    <row r="852" spans="2:27" ht="27.6" customHeight="1">
      <c r="B852">
        <f t="shared" ca="1" si="65"/>
        <v>0</v>
      </c>
      <c r="C852" t="s">
        <v>36</v>
      </c>
      <c r="G852" s="75">
        <v>1</v>
      </c>
      <c r="J852" s="66" t="str">
        <f t="shared" ca="1" si="66"/>
        <v>14%</v>
      </c>
      <c r="K852" t="s">
        <v>59</v>
      </c>
      <c r="L852" s="66" t="str">
        <f t="shared" ca="1" si="67"/>
        <v>Sin costo</v>
      </c>
      <c r="M852" t="s">
        <v>64</v>
      </c>
      <c r="N852" t="s">
        <v>66</v>
      </c>
      <c r="O852" t="s">
        <v>66</v>
      </c>
      <c r="P852" t="s">
        <v>66</v>
      </c>
      <c r="R852" t="s">
        <v>66</v>
      </c>
      <c r="U852" t="s">
        <v>90</v>
      </c>
      <c r="V852" t="s">
        <v>66</v>
      </c>
      <c r="W852" t="s">
        <v>66</v>
      </c>
      <c r="X852" t="s">
        <v>66</v>
      </c>
      <c r="Y852" t="s">
        <v>66</v>
      </c>
      <c r="Z852" s="99" t="str">
        <f t="shared" ca="1" si="68"/>
        <v/>
      </c>
      <c r="AA852" s="101" t="str">
        <f t="shared" ca="1" si="69"/>
        <v/>
      </c>
    </row>
    <row r="853" spans="2:27" ht="27.6" customHeight="1">
      <c r="B853">
        <f t="shared" ca="1" si="65"/>
        <v>0</v>
      </c>
      <c r="C853" t="s">
        <v>36</v>
      </c>
      <c r="G853" s="75">
        <v>1</v>
      </c>
      <c r="J853" s="66" t="str">
        <f t="shared" ca="1" si="66"/>
        <v>14%</v>
      </c>
      <c r="K853" t="s">
        <v>59</v>
      </c>
      <c r="L853" s="66" t="str">
        <f t="shared" ca="1" si="67"/>
        <v>Sin costo</v>
      </c>
      <c r="M853" t="s">
        <v>64</v>
      </c>
      <c r="N853" t="s">
        <v>66</v>
      </c>
      <c r="O853" t="s">
        <v>66</v>
      </c>
      <c r="P853" t="s">
        <v>66</v>
      </c>
      <c r="R853" t="s">
        <v>66</v>
      </c>
      <c r="U853" t="s">
        <v>90</v>
      </c>
      <c r="V853" t="s">
        <v>66</v>
      </c>
      <c r="W853" t="s">
        <v>66</v>
      </c>
      <c r="X853" t="s">
        <v>66</v>
      </c>
      <c r="Y853" t="s">
        <v>66</v>
      </c>
      <c r="Z853" s="99" t="str">
        <f t="shared" ca="1" si="68"/>
        <v/>
      </c>
      <c r="AA853" s="101" t="str">
        <f t="shared" ca="1" si="69"/>
        <v/>
      </c>
    </row>
    <row r="854" spans="2:27" ht="27.6" customHeight="1">
      <c r="B854">
        <f t="shared" ca="1" si="65"/>
        <v>0</v>
      </c>
      <c r="C854" t="s">
        <v>36</v>
      </c>
      <c r="G854" s="75">
        <v>1</v>
      </c>
      <c r="J854" s="66" t="str">
        <f t="shared" ca="1" si="66"/>
        <v>14%</v>
      </c>
      <c r="K854" t="s">
        <v>59</v>
      </c>
      <c r="L854" s="66" t="str">
        <f t="shared" ca="1" si="67"/>
        <v>Sin costo</v>
      </c>
      <c r="M854" t="s">
        <v>64</v>
      </c>
      <c r="N854" t="s">
        <v>66</v>
      </c>
      <c r="O854" t="s">
        <v>66</v>
      </c>
      <c r="P854" t="s">
        <v>66</v>
      </c>
      <c r="R854" t="s">
        <v>66</v>
      </c>
      <c r="U854" t="s">
        <v>90</v>
      </c>
      <c r="V854" t="s">
        <v>66</v>
      </c>
      <c r="W854" t="s">
        <v>66</v>
      </c>
      <c r="X854" t="s">
        <v>66</v>
      </c>
      <c r="Y854" t="s">
        <v>66</v>
      </c>
      <c r="Z854" s="99" t="str">
        <f t="shared" ca="1" si="68"/>
        <v/>
      </c>
      <c r="AA854" s="101" t="str">
        <f t="shared" ca="1" si="69"/>
        <v/>
      </c>
    </row>
    <row r="855" spans="2:27" ht="27.6" customHeight="1">
      <c r="B855">
        <f t="shared" ca="1" si="65"/>
        <v>0</v>
      </c>
      <c r="C855" t="s">
        <v>36</v>
      </c>
      <c r="G855" s="75">
        <v>1</v>
      </c>
      <c r="J855" s="66" t="str">
        <f t="shared" ca="1" si="66"/>
        <v>14%</v>
      </c>
      <c r="K855" t="s">
        <v>59</v>
      </c>
      <c r="L855" s="66" t="str">
        <f t="shared" ca="1" si="67"/>
        <v>Sin costo</v>
      </c>
      <c r="M855" t="s">
        <v>64</v>
      </c>
      <c r="N855" t="s">
        <v>66</v>
      </c>
      <c r="O855" t="s">
        <v>66</v>
      </c>
      <c r="P855" t="s">
        <v>66</v>
      </c>
      <c r="R855" t="s">
        <v>66</v>
      </c>
      <c r="U855" t="s">
        <v>90</v>
      </c>
      <c r="V855" t="s">
        <v>66</v>
      </c>
      <c r="W855" t="s">
        <v>66</v>
      </c>
      <c r="X855" t="s">
        <v>66</v>
      </c>
      <c r="Y855" t="s">
        <v>66</v>
      </c>
      <c r="Z855" s="99" t="str">
        <f t="shared" ca="1" si="68"/>
        <v/>
      </c>
      <c r="AA855" s="101" t="str">
        <f t="shared" ca="1" si="69"/>
        <v/>
      </c>
    </row>
    <row r="856" spans="2:27" ht="27.6" customHeight="1">
      <c r="B856">
        <f t="shared" ca="1" si="65"/>
        <v>0</v>
      </c>
      <c r="C856" t="s">
        <v>36</v>
      </c>
      <c r="G856" s="75">
        <v>1</v>
      </c>
      <c r="J856" s="66" t="str">
        <f t="shared" ca="1" si="66"/>
        <v>14%</v>
      </c>
      <c r="K856" t="s">
        <v>59</v>
      </c>
      <c r="L856" s="66" t="str">
        <f t="shared" ca="1" si="67"/>
        <v>Sin costo</v>
      </c>
      <c r="M856" t="s">
        <v>64</v>
      </c>
      <c r="N856" t="s">
        <v>66</v>
      </c>
      <c r="O856" t="s">
        <v>66</v>
      </c>
      <c r="P856" t="s">
        <v>66</v>
      </c>
      <c r="R856" t="s">
        <v>66</v>
      </c>
      <c r="U856" t="s">
        <v>90</v>
      </c>
      <c r="V856" t="s">
        <v>66</v>
      </c>
      <c r="W856" t="s">
        <v>66</v>
      </c>
      <c r="X856" t="s">
        <v>66</v>
      </c>
      <c r="Y856" t="s">
        <v>66</v>
      </c>
      <c r="Z856" s="99" t="str">
        <f t="shared" ca="1" si="68"/>
        <v/>
      </c>
      <c r="AA856" s="101" t="str">
        <f t="shared" ca="1" si="69"/>
        <v/>
      </c>
    </row>
    <row r="857" spans="2:27" ht="27.6" customHeight="1">
      <c r="B857">
        <f t="shared" ca="1" si="65"/>
        <v>0</v>
      </c>
      <c r="C857" t="s">
        <v>36</v>
      </c>
      <c r="G857" s="75">
        <v>1</v>
      </c>
      <c r="J857" s="66" t="str">
        <f t="shared" ca="1" si="66"/>
        <v>14%</v>
      </c>
      <c r="K857" t="s">
        <v>59</v>
      </c>
      <c r="L857" s="66" t="str">
        <f t="shared" ca="1" si="67"/>
        <v>Sin costo</v>
      </c>
      <c r="M857" t="s">
        <v>64</v>
      </c>
      <c r="N857" t="s">
        <v>66</v>
      </c>
      <c r="O857" t="s">
        <v>66</v>
      </c>
      <c r="P857" t="s">
        <v>66</v>
      </c>
      <c r="R857" t="s">
        <v>66</v>
      </c>
      <c r="U857" t="s">
        <v>90</v>
      </c>
      <c r="V857" t="s">
        <v>66</v>
      </c>
      <c r="W857" t="s">
        <v>66</v>
      </c>
      <c r="X857" t="s">
        <v>66</v>
      </c>
      <c r="Y857" t="s">
        <v>66</v>
      </c>
      <c r="Z857" s="99" t="str">
        <f t="shared" ca="1" si="68"/>
        <v/>
      </c>
      <c r="AA857" s="101" t="str">
        <f t="shared" ca="1" si="69"/>
        <v/>
      </c>
    </row>
    <row r="858" spans="2:27" ht="27.6" customHeight="1">
      <c r="B858">
        <f t="shared" ca="1" si="65"/>
        <v>0</v>
      </c>
      <c r="C858" t="s">
        <v>36</v>
      </c>
      <c r="G858" s="75">
        <v>1</v>
      </c>
      <c r="J858" s="66" t="str">
        <f t="shared" ca="1" si="66"/>
        <v>14%</v>
      </c>
      <c r="K858" t="s">
        <v>59</v>
      </c>
      <c r="L858" s="66" t="str">
        <f t="shared" ca="1" si="67"/>
        <v>Sin costo</v>
      </c>
      <c r="M858" t="s">
        <v>64</v>
      </c>
      <c r="N858" t="s">
        <v>66</v>
      </c>
      <c r="O858" t="s">
        <v>66</v>
      </c>
      <c r="P858" t="s">
        <v>66</v>
      </c>
      <c r="R858" t="s">
        <v>66</v>
      </c>
      <c r="U858" t="s">
        <v>90</v>
      </c>
      <c r="V858" t="s">
        <v>66</v>
      </c>
      <c r="W858" t="s">
        <v>66</v>
      </c>
      <c r="X858" t="s">
        <v>66</v>
      </c>
      <c r="Y858" t="s">
        <v>66</v>
      </c>
      <c r="Z858" s="99" t="str">
        <f t="shared" ca="1" si="68"/>
        <v/>
      </c>
      <c r="AA858" s="101" t="str">
        <f t="shared" ca="1" si="69"/>
        <v/>
      </c>
    </row>
    <row r="859" spans="2:27" ht="27.6" customHeight="1">
      <c r="B859">
        <f t="shared" ca="1" si="65"/>
        <v>0</v>
      </c>
      <c r="C859" t="s">
        <v>36</v>
      </c>
      <c r="G859" s="75">
        <v>1</v>
      </c>
      <c r="J859" s="66" t="str">
        <f t="shared" ca="1" si="66"/>
        <v>14%</v>
      </c>
      <c r="K859" t="s">
        <v>59</v>
      </c>
      <c r="L859" s="66" t="str">
        <f t="shared" ca="1" si="67"/>
        <v>Sin costo</v>
      </c>
      <c r="M859" t="s">
        <v>64</v>
      </c>
      <c r="N859" t="s">
        <v>66</v>
      </c>
      <c r="O859" t="s">
        <v>66</v>
      </c>
      <c r="P859" t="s">
        <v>66</v>
      </c>
      <c r="R859" t="s">
        <v>66</v>
      </c>
      <c r="U859" t="s">
        <v>90</v>
      </c>
      <c r="V859" t="s">
        <v>66</v>
      </c>
      <c r="W859" t="s">
        <v>66</v>
      </c>
      <c r="X859" t="s">
        <v>66</v>
      </c>
      <c r="Y859" t="s">
        <v>66</v>
      </c>
      <c r="Z859" s="99" t="str">
        <f t="shared" ca="1" si="68"/>
        <v/>
      </c>
      <c r="AA859" s="101" t="str">
        <f t="shared" ca="1" si="69"/>
        <v/>
      </c>
    </row>
    <row r="860" spans="2:27" ht="27.6" customHeight="1">
      <c r="B860">
        <f t="shared" ca="1" si="65"/>
        <v>0</v>
      </c>
      <c r="C860" t="s">
        <v>36</v>
      </c>
      <c r="G860" s="75">
        <v>1</v>
      </c>
      <c r="J860" s="66" t="str">
        <f t="shared" ca="1" si="66"/>
        <v>14%</v>
      </c>
      <c r="K860" t="s">
        <v>59</v>
      </c>
      <c r="L860" s="66" t="str">
        <f t="shared" ca="1" si="67"/>
        <v>Sin costo</v>
      </c>
      <c r="M860" t="s">
        <v>64</v>
      </c>
      <c r="N860" t="s">
        <v>66</v>
      </c>
      <c r="O860" t="s">
        <v>66</v>
      </c>
      <c r="P860" t="s">
        <v>66</v>
      </c>
      <c r="R860" t="s">
        <v>66</v>
      </c>
      <c r="U860" t="s">
        <v>90</v>
      </c>
      <c r="V860" t="s">
        <v>66</v>
      </c>
      <c r="W860" t="s">
        <v>66</v>
      </c>
      <c r="X860" t="s">
        <v>66</v>
      </c>
      <c r="Y860" t="s">
        <v>66</v>
      </c>
      <c r="Z860" s="99" t="str">
        <f t="shared" ca="1" si="68"/>
        <v/>
      </c>
      <c r="AA860" s="101" t="str">
        <f t="shared" ca="1" si="69"/>
        <v/>
      </c>
    </row>
    <row r="861" spans="2:27" ht="27.6" customHeight="1">
      <c r="B861">
        <f t="shared" ca="1" si="65"/>
        <v>0</v>
      </c>
      <c r="C861" t="s">
        <v>36</v>
      </c>
      <c r="G861" s="75">
        <v>1</v>
      </c>
      <c r="J861" s="66" t="str">
        <f t="shared" ca="1" si="66"/>
        <v>14%</v>
      </c>
      <c r="K861" t="s">
        <v>59</v>
      </c>
      <c r="L861" s="66" t="str">
        <f t="shared" ca="1" si="67"/>
        <v>Sin costo</v>
      </c>
      <c r="M861" t="s">
        <v>64</v>
      </c>
      <c r="N861" t="s">
        <v>66</v>
      </c>
      <c r="O861" t="s">
        <v>66</v>
      </c>
      <c r="P861" t="s">
        <v>66</v>
      </c>
      <c r="R861" t="s">
        <v>66</v>
      </c>
      <c r="U861" t="s">
        <v>90</v>
      </c>
      <c r="V861" t="s">
        <v>66</v>
      </c>
      <c r="W861" t="s">
        <v>66</v>
      </c>
      <c r="X861" t="s">
        <v>66</v>
      </c>
      <c r="Y861" t="s">
        <v>66</v>
      </c>
      <c r="Z861" s="99" t="str">
        <f t="shared" ca="1" si="68"/>
        <v/>
      </c>
      <c r="AA861" s="101" t="str">
        <f t="shared" ca="1" si="69"/>
        <v/>
      </c>
    </row>
    <row r="862" spans="2:27" ht="27.6" customHeight="1">
      <c r="B862">
        <f t="shared" ca="1" si="65"/>
        <v>0</v>
      </c>
      <c r="C862" t="s">
        <v>36</v>
      </c>
      <c r="G862" s="75">
        <v>1</v>
      </c>
      <c r="J862" s="66" t="str">
        <f t="shared" ca="1" si="66"/>
        <v>14%</v>
      </c>
      <c r="K862" t="s">
        <v>59</v>
      </c>
      <c r="L862" s="66" t="str">
        <f t="shared" ca="1" si="67"/>
        <v>Sin costo</v>
      </c>
      <c r="M862" t="s">
        <v>64</v>
      </c>
      <c r="N862" t="s">
        <v>66</v>
      </c>
      <c r="O862" t="s">
        <v>66</v>
      </c>
      <c r="P862" t="s">
        <v>66</v>
      </c>
      <c r="R862" t="s">
        <v>66</v>
      </c>
      <c r="U862" t="s">
        <v>90</v>
      </c>
      <c r="V862" t="s">
        <v>66</v>
      </c>
      <c r="W862" t="s">
        <v>66</v>
      </c>
      <c r="X862" t="s">
        <v>66</v>
      </c>
      <c r="Y862" t="s">
        <v>66</v>
      </c>
      <c r="Z862" s="99" t="str">
        <f t="shared" ca="1" si="68"/>
        <v/>
      </c>
      <c r="AA862" s="101" t="str">
        <f t="shared" ca="1" si="69"/>
        <v/>
      </c>
    </row>
    <row r="863" spans="2:27" ht="27.6" customHeight="1">
      <c r="B863">
        <f t="shared" ca="1" si="65"/>
        <v>0</v>
      </c>
      <c r="C863" t="s">
        <v>36</v>
      </c>
      <c r="G863" s="75">
        <v>1</v>
      </c>
      <c r="J863" s="66" t="str">
        <f t="shared" ca="1" si="66"/>
        <v>14%</v>
      </c>
      <c r="K863" t="s">
        <v>59</v>
      </c>
      <c r="L863" s="66" t="str">
        <f t="shared" ca="1" si="67"/>
        <v>Sin costo</v>
      </c>
      <c r="M863" t="s">
        <v>64</v>
      </c>
      <c r="N863" t="s">
        <v>66</v>
      </c>
      <c r="O863" t="s">
        <v>66</v>
      </c>
      <c r="P863" t="s">
        <v>66</v>
      </c>
      <c r="R863" t="s">
        <v>66</v>
      </c>
      <c r="U863" t="s">
        <v>90</v>
      </c>
      <c r="V863" t="s">
        <v>66</v>
      </c>
      <c r="W863" t="s">
        <v>66</v>
      </c>
      <c r="X863" t="s">
        <v>66</v>
      </c>
      <c r="Y863" t="s">
        <v>66</v>
      </c>
      <c r="Z863" s="99" t="str">
        <f t="shared" ca="1" si="68"/>
        <v/>
      </c>
      <c r="AA863" s="101" t="str">
        <f t="shared" ca="1" si="69"/>
        <v/>
      </c>
    </row>
    <row r="864" spans="2:27" ht="27.6" customHeight="1">
      <c r="B864">
        <f t="shared" ca="1" si="65"/>
        <v>0</v>
      </c>
      <c r="C864" t="s">
        <v>36</v>
      </c>
      <c r="G864" s="75">
        <v>1</v>
      </c>
      <c r="J864" s="66" t="str">
        <f t="shared" ca="1" si="66"/>
        <v>14%</v>
      </c>
      <c r="K864" t="s">
        <v>59</v>
      </c>
      <c r="L864" s="66" t="str">
        <f t="shared" ca="1" si="67"/>
        <v>Sin costo</v>
      </c>
      <c r="M864" t="s">
        <v>64</v>
      </c>
      <c r="N864" t="s">
        <v>66</v>
      </c>
      <c r="O864" t="s">
        <v>66</v>
      </c>
      <c r="P864" t="s">
        <v>66</v>
      </c>
      <c r="R864" t="s">
        <v>66</v>
      </c>
      <c r="U864" t="s">
        <v>90</v>
      </c>
      <c r="V864" t="s">
        <v>66</v>
      </c>
      <c r="W864" t="s">
        <v>66</v>
      </c>
      <c r="X864" t="s">
        <v>66</v>
      </c>
      <c r="Y864" t="s">
        <v>66</v>
      </c>
      <c r="Z864" s="99" t="str">
        <f t="shared" ca="1" si="68"/>
        <v/>
      </c>
      <c r="AA864" s="101" t="str">
        <f t="shared" ca="1" si="69"/>
        <v/>
      </c>
    </row>
    <row r="865" spans="2:27" ht="27.6" customHeight="1">
      <c r="B865">
        <f t="shared" ca="1" si="65"/>
        <v>0</v>
      </c>
      <c r="C865" t="s">
        <v>36</v>
      </c>
      <c r="G865" s="75">
        <v>1</v>
      </c>
      <c r="J865" s="66" t="str">
        <f t="shared" ca="1" si="66"/>
        <v>14%</v>
      </c>
      <c r="K865" t="s">
        <v>59</v>
      </c>
      <c r="L865" s="66" t="str">
        <f t="shared" ca="1" si="67"/>
        <v>Sin costo</v>
      </c>
      <c r="M865" t="s">
        <v>64</v>
      </c>
      <c r="N865" t="s">
        <v>66</v>
      </c>
      <c r="O865" t="s">
        <v>66</v>
      </c>
      <c r="P865" t="s">
        <v>66</v>
      </c>
      <c r="R865" t="s">
        <v>66</v>
      </c>
      <c r="U865" t="s">
        <v>90</v>
      </c>
      <c r="V865" t="s">
        <v>66</v>
      </c>
      <c r="W865" t="s">
        <v>66</v>
      </c>
      <c r="X865" t="s">
        <v>66</v>
      </c>
      <c r="Y865" t="s">
        <v>66</v>
      </c>
      <c r="Z865" s="99" t="str">
        <f t="shared" ca="1" si="68"/>
        <v/>
      </c>
      <c r="AA865" s="101" t="str">
        <f t="shared" ca="1" si="69"/>
        <v/>
      </c>
    </row>
    <row r="866" spans="2:27" ht="27.6" customHeight="1">
      <c r="B866">
        <f t="shared" ca="1" si="65"/>
        <v>0</v>
      </c>
      <c r="C866" t="s">
        <v>36</v>
      </c>
      <c r="G866" s="75">
        <v>1</v>
      </c>
      <c r="J866" s="66" t="str">
        <f t="shared" ca="1" si="66"/>
        <v>14%</v>
      </c>
      <c r="K866" t="s">
        <v>59</v>
      </c>
      <c r="L866" s="66" t="str">
        <f t="shared" ca="1" si="67"/>
        <v>Sin costo</v>
      </c>
      <c r="M866" t="s">
        <v>64</v>
      </c>
      <c r="N866" t="s">
        <v>66</v>
      </c>
      <c r="O866" t="s">
        <v>66</v>
      </c>
      <c r="P866" t="s">
        <v>66</v>
      </c>
      <c r="R866" t="s">
        <v>66</v>
      </c>
      <c r="U866" t="s">
        <v>90</v>
      </c>
      <c r="V866" t="s">
        <v>66</v>
      </c>
      <c r="W866" t="s">
        <v>66</v>
      </c>
      <c r="X866" t="s">
        <v>66</v>
      </c>
      <c r="Y866" t="s">
        <v>66</v>
      </c>
      <c r="Z866" s="99" t="str">
        <f t="shared" ca="1" si="68"/>
        <v/>
      </c>
      <c r="AA866" s="101" t="str">
        <f t="shared" ca="1" si="69"/>
        <v/>
      </c>
    </row>
    <row r="867" spans="2:27" ht="27.6" customHeight="1">
      <c r="B867">
        <f t="shared" ca="1" si="65"/>
        <v>0</v>
      </c>
      <c r="C867" t="s">
        <v>36</v>
      </c>
      <c r="G867" s="75">
        <v>1</v>
      </c>
      <c r="J867" s="66" t="str">
        <f t="shared" ca="1" si="66"/>
        <v>14%</v>
      </c>
      <c r="K867" t="s">
        <v>59</v>
      </c>
      <c r="L867" s="66" t="str">
        <f t="shared" ca="1" si="67"/>
        <v>Sin costo</v>
      </c>
      <c r="M867" t="s">
        <v>64</v>
      </c>
      <c r="N867" t="s">
        <v>66</v>
      </c>
      <c r="O867" t="s">
        <v>66</v>
      </c>
      <c r="P867" t="s">
        <v>66</v>
      </c>
      <c r="R867" t="s">
        <v>66</v>
      </c>
      <c r="U867" t="s">
        <v>90</v>
      </c>
      <c r="V867" t="s">
        <v>66</v>
      </c>
      <c r="W867" t="s">
        <v>66</v>
      </c>
      <c r="X867" t="s">
        <v>66</v>
      </c>
      <c r="Y867" t="s">
        <v>66</v>
      </c>
      <c r="Z867" s="99" t="str">
        <f t="shared" ca="1" si="68"/>
        <v/>
      </c>
      <c r="AA867" s="101" t="str">
        <f t="shared" ca="1" si="69"/>
        <v/>
      </c>
    </row>
    <row r="868" spans="2:27" ht="27.6" customHeight="1">
      <c r="B868">
        <f t="shared" ca="1" si="65"/>
        <v>0</v>
      </c>
      <c r="C868" t="s">
        <v>36</v>
      </c>
      <c r="G868" s="75">
        <v>1</v>
      </c>
      <c r="J868" s="66" t="str">
        <f t="shared" ca="1" si="66"/>
        <v>14%</v>
      </c>
      <c r="K868" t="s">
        <v>59</v>
      </c>
      <c r="L868" s="66" t="str">
        <f t="shared" ca="1" si="67"/>
        <v>Sin costo</v>
      </c>
      <c r="M868" t="s">
        <v>64</v>
      </c>
      <c r="N868" t="s">
        <v>66</v>
      </c>
      <c r="O868" t="s">
        <v>66</v>
      </c>
      <c r="P868" t="s">
        <v>66</v>
      </c>
      <c r="R868" t="s">
        <v>66</v>
      </c>
      <c r="U868" t="s">
        <v>90</v>
      </c>
      <c r="V868" t="s">
        <v>66</v>
      </c>
      <c r="W868" t="s">
        <v>66</v>
      </c>
      <c r="X868" t="s">
        <v>66</v>
      </c>
      <c r="Y868" t="s">
        <v>66</v>
      </c>
      <c r="Z868" s="99" t="str">
        <f t="shared" ca="1" si="68"/>
        <v/>
      </c>
      <c r="AA868" s="101" t="str">
        <f t="shared" ca="1" si="69"/>
        <v/>
      </c>
    </row>
    <row r="869" spans="2:27" ht="27.6" customHeight="1">
      <c r="B869">
        <f t="shared" ca="1" si="65"/>
        <v>0</v>
      </c>
      <c r="C869" t="s">
        <v>36</v>
      </c>
      <c r="G869" s="75">
        <v>1</v>
      </c>
      <c r="J869" s="66" t="str">
        <f t="shared" ca="1" si="66"/>
        <v>14%</v>
      </c>
      <c r="K869" t="s">
        <v>59</v>
      </c>
      <c r="L869" s="66" t="str">
        <f t="shared" ca="1" si="67"/>
        <v>Sin costo</v>
      </c>
      <c r="M869" t="s">
        <v>64</v>
      </c>
      <c r="N869" t="s">
        <v>66</v>
      </c>
      <c r="O869" t="s">
        <v>66</v>
      </c>
      <c r="P869" t="s">
        <v>66</v>
      </c>
      <c r="R869" t="s">
        <v>66</v>
      </c>
      <c r="U869" t="s">
        <v>90</v>
      </c>
      <c r="V869" t="s">
        <v>66</v>
      </c>
      <c r="W869" t="s">
        <v>66</v>
      </c>
      <c r="X869" t="s">
        <v>66</v>
      </c>
      <c r="Y869" t="s">
        <v>66</v>
      </c>
      <c r="Z869" s="99" t="str">
        <f t="shared" ca="1" si="68"/>
        <v/>
      </c>
      <c r="AA869" s="101" t="str">
        <f t="shared" ca="1" si="69"/>
        <v/>
      </c>
    </row>
    <row r="870" spans="2:27" ht="27.6" customHeight="1">
      <c r="B870">
        <f t="shared" ca="1" si="65"/>
        <v>0</v>
      </c>
      <c r="C870" t="s">
        <v>36</v>
      </c>
      <c r="G870" s="75">
        <v>1</v>
      </c>
      <c r="J870" s="66" t="str">
        <f t="shared" ca="1" si="66"/>
        <v>14%</v>
      </c>
      <c r="K870" t="s">
        <v>59</v>
      </c>
      <c r="L870" s="66" t="str">
        <f t="shared" ca="1" si="67"/>
        <v>Sin costo</v>
      </c>
      <c r="M870" t="s">
        <v>64</v>
      </c>
      <c r="N870" t="s">
        <v>66</v>
      </c>
      <c r="O870" t="s">
        <v>66</v>
      </c>
      <c r="P870" t="s">
        <v>66</v>
      </c>
      <c r="R870" t="s">
        <v>66</v>
      </c>
      <c r="U870" t="s">
        <v>90</v>
      </c>
      <c r="V870" t="s">
        <v>66</v>
      </c>
      <c r="W870" t="s">
        <v>66</v>
      </c>
      <c r="X870" t="s">
        <v>66</v>
      </c>
      <c r="Y870" t="s">
        <v>66</v>
      </c>
      <c r="Z870" s="99" t="str">
        <f t="shared" ca="1" si="68"/>
        <v/>
      </c>
      <c r="AA870" s="101" t="str">
        <f t="shared" ca="1" si="69"/>
        <v/>
      </c>
    </row>
    <row r="871" spans="2:27" ht="27.6" customHeight="1">
      <c r="B871">
        <f t="shared" ca="1" si="65"/>
        <v>0</v>
      </c>
      <c r="C871" t="s">
        <v>36</v>
      </c>
      <c r="G871" s="75">
        <v>1</v>
      </c>
      <c r="J871" s="66" t="str">
        <f t="shared" ca="1" si="66"/>
        <v>14%</v>
      </c>
      <c r="K871" t="s">
        <v>59</v>
      </c>
      <c r="L871" s="66" t="str">
        <f t="shared" ca="1" si="67"/>
        <v>Sin costo</v>
      </c>
      <c r="M871" t="s">
        <v>64</v>
      </c>
      <c r="N871" t="s">
        <v>66</v>
      </c>
      <c r="O871" t="s">
        <v>66</v>
      </c>
      <c r="P871" t="s">
        <v>66</v>
      </c>
      <c r="R871" t="s">
        <v>66</v>
      </c>
      <c r="U871" t="s">
        <v>90</v>
      </c>
      <c r="V871" t="s">
        <v>66</v>
      </c>
      <c r="W871" t="s">
        <v>66</v>
      </c>
      <c r="X871" t="s">
        <v>66</v>
      </c>
      <c r="Y871" t="s">
        <v>66</v>
      </c>
      <c r="Z871" s="99" t="str">
        <f t="shared" ca="1" si="68"/>
        <v/>
      </c>
      <c r="AA871" s="101" t="str">
        <f t="shared" ca="1" si="69"/>
        <v/>
      </c>
    </row>
    <row r="872" spans="2:27" ht="27.6" customHeight="1">
      <c r="B872">
        <f t="shared" ca="1" si="65"/>
        <v>0</v>
      </c>
      <c r="C872" t="s">
        <v>36</v>
      </c>
      <c r="G872" s="75">
        <v>1</v>
      </c>
      <c r="J872" s="66" t="str">
        <f t="shared" ca="1" si="66"/>
        <v>14%</v>
      </c>
      <c r="K872" t="s">
        <v>59</v>
      </c>
      <c r="L872" s="66" t="str">
        <f t="shared" ca="1" si="67"/>
        <v>Sin costo</v>
      </c>
      <c r="M872" t="s">
        <v>64</v>
      </c>
      <c r="N872" t="s">
        <v>66</v>
      </c>
      <c r="O872" t="s">
        <v>66</v>
      </c>
      <c r="P872" t="s">
        <v>66</v>
      </c>
      <c r="R872" t="s">
        <v>66</v>
      </c>
      <c r="U872" t="s">
        <v>90</v>
      </c>
      <c r="V872" t="s">
        <v>66</v>
      </c>
      <c r="W872" t="s">
        <v>66</v>
      </c>
      <c r="X872" t="s">
        <v>66</v>
      </c>
      <c r="Y872" t="s">
        <v>66</v>
      </c>
      <c r="Z872" s="99" t="str">
        <f t="shared" ca="1" si="68"/>
        <v/>
      </c>
      <c r="AA872" s="101" t="str">
        <f t="shared" ca="1" si="69"/>
        <v/>
      </c>
    </row>
    <row r="873" spans="2:27" ht="27.6" customHeight="1">
      <c r="B873">
        <f t="shared" ca="1" si="65"/>
        <v>0</v>
      </c>
      <c r="C873" t="s">
        <v>36</v>
      </c>
      <c r="G873" s="75">
        <v>1</v>
      </c>
      <c r="J873" s="66" t="str">
        <f t="shared" ca="1" si="66"/>
        <v>14%</v>
      </c>
      <c r="K873" t="s">
        <v>59</v>
      </c>
      <c r="L873" s="66" t="str">
        <f t="shared" ca="1" si="67"/>
        <v>Sin costo</v>
      </c>
      <c r="M873" t="s">
        <v>64</v>
      </c>
      <c r="N873" t="s">
        <v>66</v>
      </c>
      <c r="O873" t="s">
        <v>66</v>
      </c>
      <c r="P873" t="s">
        <v>66</v>
      </c>
      <c r="R873" t="s">
        <v>66</v>
      </c>
      <c r="U873" t="s">
        <v>90</v>
      </c>
      <c r="V873" t="s">
        <v>66</v>
      </c>
      <c r="W873" t="s">
        <v>66</v>
      </c>
      <c r="X873" t="s">
        <v>66</v>
      </c>
      <c r="Y873" t="s">
        <v>66</v>
      </c>
      <c r="Z873" s="99" t="str">
        <f t="shared" ca="1" si="68"/>
        <v/>
      </c>
      <c r="AA873" s="101" t="str">
        <f t="shared" ca="1" si="69"/>
        <v/>
      </c>
    </row>
    <row r="874" spans="2:27" ht="27.6" customHeight="1">
      <c r="B874">
        <f t="shared" ca="1" si="65"/>
        <v>0</v>
      </c>
      <c r="C874" t="s">
        <v>36</v>
      </c>
      <c r="G874" s="75">
        <v>1</v>
      </c>
      <c r="J874" s="66" t="str">
        <f t="shared" ca="1" si="66"/>
        <v>14%</v>
      </c>
      <c r="K874" t="s">
        <v>59</v>
      </c>
      <c r="L874" s="66" t="str">
        <f t="shared" ca="1" si="67"/>
        <v>Sin costo</v>
      </c>
      <c r="M874" t="s">
        <v>64</v>
      </c>
      <c r="N874" t="s">
        <v>66</v>
      </c>
      <c r="O874" t="s">
        <v>66</v>
      </c>
      <c r="P874" t="s">
        <v>66</v>
      </c>
      <c r="R874" t="s">
        <v>66</v>
      </c>
      <c r="U874" t="s">
        <v>90</v>
      </c>
      <c r="V874" t="s">
        <v>66</v>
      </c>
      <c r="W874" t="s">
        <v>66</v>
      </c>
      <c r="X874" t="s">
        <v>66</v>
      </c>
      <c r="Y874" t="s">
        <v>66</v>
      </c>
      <c r="Z874" s="99" t="str">
        <f t="shared" ca="1" si="68"/>
        <v/>
      </c>
      <c r="AA874" s="101" t="str">
        <f t="shared" ca="1" si="69"/>
        <v/>
      </c>
    </row>
    <row r="875" spans="2:27" ht="27.6" customHeight="1">
      <c r="B875">
        <f t="shared" ca="1" si="65"/>
        <v>0</v>
      </c>
      <c r="C875" t="s">
        <v>36</v>
      </c>
      <c r="G875" s="75">
        <v>1</v>
      </c>
      <c r="J875" s="66" t="str">
        <f t="shared" ca="1" si="66"/>
        <v>14%</v>
      </c>
      <c r="K875" t="s">
        <v>59</v>
      </c>
      <c r="L875" s="66" t="str">
        <f t="shared" ca="1" si="67"/>
        <v>Sin costo</v>
      </c>
      <c r="M875" t="s">
        <v>64</v>
      </c>
      <c r="N875" t="s">
        <v>66</v>
      </c>
      <c r="O875" t="s">
        <v>66</v>
      </c>
      <c r="P875" t="s">
        <v>66</v>
      </c>
      <c r="R875" t="s">
        <v>66</v>
      </c>
      <c r="U875" t="s">
        <v>90</v>
      </c>
      <c r="V875" t="s">
        <v>66</v>
      </c>
      <c r="W875" t="s">
        <v>66</v>
      </c>
      <c r="X875" t="s">
        <v>66</v>
      </c>
      <c r="Y875" t="s">
        <v>66</v>
      </c>
      <c r="Z875" s="99" t="str">
        <f t="shared" ca="1" si="68"/>
        <v/>
      </c>
      <c r="AA875" s="101" t="str">
        <f t="shared" ca="1" si="69"/>
        <v/>
      </c>
    </row>
    <row r="876" spans="2:27" ht="27.6" customHeight="1">
      <c r="B876">
        <f t="shared" ca="1" si="65"/>
        <v>0</v>
      </c>
      <c r="C876" t="s">
        <v>36</v>
      </c>
      <c r="G876" s="75">
        <v>1</v>
      </c>
      <c r="J876" s="66" t="str">
        <f t="shared" ca="1" si="66"/>
        <v>14%</v>
      </c>
      <c r="K876" t="s">
        <v>59</v>
      </c>
      <c r="L876" s="66" t="str">
        <f t="shared" ca="1" si="67"/>
        <v>Sin costo</v>
      </c>
      <c r="M876" t="s">
        <v>64</v>
      </c>
      <c r="N876" t="s">
        <v>66</v>
      </c>
      <c r="O876" t="s">
        <v>66</v>
      </c>
      <c r="P876" t="s">
        <v>66</v>
      </c>
      <c r="R876" t="s">
        <v>66</v>
      </c>
      <c r="U876" t="s">
        <v>90</v>
      </c>
      <c r="V876" t="s">
        <v>66</v>
      </c>
      <c r="W876" t="s">
        <v>66</v>
      </c>
      <c r="X876" t="s">
        <v>66</v>
      </c>
      <c r="Y876" t="s">
        <v>66</v>
      </c>
      <c r="Z876" s="99" t="str">
        <f t="shared" ca="1" si="68"/>
        <v/>
      </c>
      <c r="AA876" s="101" t="str">
        <f t="shared" ca="1" si="69"/>
        <v/>
      </c>
    </row>
    <row r="877" spans="2:27" ht="27.6" customHeight="1">
      <c r="B877">
        <f t="shared" ca="1" si="65"/>
        <v>0</v>
      </c>
      <c r="C877" t="s">
        <v>36</v>
      </c>
      <c r="G877" s="75">
        <v>1</v>
      </c>
      <c r="J877" s="66" t="str">
        <f t="shared" ca="1" si="66"/>
        <v>14%</v>
      </c>
      <c r="K877" t="s">
        <v>59</v>
      </c>
      <c r="L877" s="66" t="str">
        <f t="shared" ca="1" si="67"/>
        <v>Sin costo</v>
      </c>
      <c r="M877" t="s">
        <v>64</v>
      </c>
      <c r="N877" t="s">
        <v>66</v>
      </c>
      <c r="O877" t="s">
        <v>66</v>
      </c>
      <c r="P877" t="s">
        <v>66</v>
      </c>
      <c r="R877" t="s">
        <v>66</v>
      </c>
      <c r="U877" t="s">
        <v>90</v>
      </c>
      <c r="V877" t="s">
        <v>66</v>
      </c>
      <c r="W877" t="s">
        <v>66</v>
      </c>
      <c r="X877" t="s">
        <v>66</v>
      </c>
      <c r="Y877" t="s">
        <v>66</v>
      </c>
      <c r="Z877" s="99" t="str">
        <f t="shared" ca="1" si="68"/>
        <v/>
      </c>
      <c r="AA877" s="101" t="str">
        <f t="shared" ca="1" si="69"/>
        <v/>
      </c>
    </row>
    <row r="878" spans="2:27" ht="27.6" customHeight="1">
      <c r="B878">
        <f t="shared" ca="1" si="65"/>
        <v>0</v>
      </c>
      <c r="C878" t="s">
        <v>36</v>
      </c>
      <c r="G878" s="75">
        <v>1</v>
      </c>
      <c r="J878" s="66" t="str">
        <f t="shared" ca="1" si="66"/>
        <v>14%</v>
      </c>
      <c r="K878" t="s">
        <v>59</v>
      </c>
      <c r="L878" s="66" t="str">
        <f t="shared" ca="1" si="67"/>
        <v>Sin costo</v>
      </c>
      <c r="M878" t="s">
        <v>64</v>
      </c>
      <c r="N878" t="s">
        <v>66</v>
      </c>
      <c r="O878" t="s">
        <v>66</v>
      </c>
      <c r="P878" t="s">
        <v>66</v>
      </c>
      <c r="R878" t="s">
        <v>66</v>
      </c>
      <c r="U878" t="s">
        <v>90</v>
      </c>
      <c r="V878" t="s">
        <v>66</v>
      </c>
      <c r="W878" t="s">
        <v>66</v>
      </c>
      <c r="X878" t="s">
        <v>66</v>
      </c>
      <c r="Y878" t="s">
        <v>66</v>
      </c>
      <c r="Z878" s="99" t="str">
        <f t="shared" ca="1" si="68"/>
        <v/>
      </c>
      <c r="AA878" s="101" t="str">
        <f t="shared" ca="1" si="69"/>
        <v/>
      </c>
    </row>
    <row r="879" spans="2:27" ht="27.6" customHeight="1">
      <c r="B879">
        <f t="shared" ca="1" si="65"/>
        <v>0</v>
      </c>
      <c r="C879" t="s">
        <v>36</v>
      </c>
      <c r="G879" s="75">
        <v>1</v>
      </c>
      <c r="J879" s="66" t="str">
        <f t="shared" ca="1" si="66"/>
        <v>14%</v>
      </c>
      <c r="K879" t="s">
        <v>59</v>
      </c>
      <c r="L879" s="66" t="str">
        <f t="shared" ca="1" si="67"/>
        <v>Sin costo</v>
      </c>
      <c r="M879" t="s">
        <v>64</v>
      </c>
      <c r="N879" t="s">
        <v>66</v>
      </c>
      <c r="O879" t="s">
        <v>66</v>
      </c>
      <c r="P879" t="s">
        <v>66</v>
      </c>
      <c r="R879" t="s">
        <v>66</v>
      </c>
      <c r="U879" t="s">
        <v>90</v>
      </c>
      <c r="V879" t="s">
        <v>66</v>
      </c>
      <c r="W879" t="s">
        <v>66</v>
      </c>
      <c r="X879" t="s">
        <v>66</v>
      </c>
      <c r="Y879" t="s">
        <v>66</v>
      </c>
      <c r="Z879" s="99" t="str">
        <f t="shared" ca="1" si="68"/>
        <v/>
      </c>
      <c r="AA879" s="101" t="str">
        <f t="shared" ca="1" si="69"/>
        <v/>
      </c>
    </row>
    <row r="880" spans="2:27" ht="27.6" customHeight="1">
      <c r="B880">
        <f t="shared" ca="1" si="65"/>
        <v>0</v>
      </c>
      <c r="C880" t="s">
        <v>36</v>
      </c>
      <c r="G880" s="75">
        <v>1</v>
      </c>
      <c r="J880" s="66" t="str">
        <f t="shared" ca="1" si="66"/>
        <v>14%</v>
      </c>
      <c r="K880" t="s">
        <v>59</v>
      </c>
      <c r="L880" s="66" t="str">
        <f t="shared" ca="1" si="67"/>
        <v>Sin costo</v>
      </c>
      <c r="M880" t="s">
        <v>64</v>
      </c>
      <c r="N880" t="s">
        <v>66</v>
      </c>
      <c r="O880" t="s">
        <v>66</v>
      </c>
      <c r="P880" t="s">
        <v>66</v>
      </c>
      <c r="R880" t="s">
        <v>66</v>
      </c>
      <c r="U880" t="s">
        <v>90</v>
      </c>
      <c r="V880" t="s">
        <v>66</v>
      </c>
      <c r="W880" t="s">
        <v>66</v>
      </c>
      <c r="X880" t="s">
        <v>66</v>
      </c>
      <c r="Y880" t="s">
        <v>66</v>
      </c>
      <c r="Z880" s="99" t="str">
        <f t="shared" ca="1" si="68"/>
        <v/>
      </c>
      <c r="AA880" s="101" t="str">
        <f t="shared" ca="1" si="69"/>
        <v/>
      </c>
    </row>
    <row r="881" spans="2:27" ht="27.6" customHeight="1">
      <c r="B881">
        <f t="shared" ca="1" si="65"/>
        <v>0</v>
      </c>
      <c r="C881" t="s">
        <v>36</v>
      </c>
      <c r="G881" s="75">
        <v>1</v>
      </c>
      <c r="J881" s="66" t="str">
        <f t="shared" ca="1" si="66"/>
        <v>14%</v>
      </c>
      <c r="K881" t="s">
        <v>59</v>
      </c>
      <c r="L881" s="66" t="str">
        <f t="shared" ca="1" si="67"/>
        <v>Sin costo</v>
      </c>
      <c r="M881" t="s">
        <v>64</v>
      </c>
      <c r="N881" t="s">
        <v>66</v>
      </c>
      <c r="O881" t="s">
        <v>66</v>
      </c>
      <c r="P881" t="s">
        <v>66</v>
      </c>
      <c r="R881" t="s">
        <v>66</v>
      </c>
      <c r="U881" t="s">
        <v>90</v>
      </c>
      <c r="V881" t="s">
        <v>66</v>
      </c>
      <c r="W881" t="s">
        <v>66</v>
      </c>
      <c r="X881" t="s">
        <v>66</v>
      </c>
      <c r="Y881" t="s">
        <v>66</v>
      </c>
      <c r="Z881" s="99" t="str">
        <f t="shared" ca="1" si="68"/>
        <v/>
      </c>
      <c r="AA881" s="101" t="str">
        <f t="shared" ca="1" si="69"/>
        <v/>
      </c>
    </row>
    <row r="882" spans="2:27" ht="27.6" customHeight="1">
      <c r="B882">
        <f t="shared" ca="1" si="65"/>
        <v>0</v>
      </c>
      <c r="C882" t="s">
        <v>36</v>
      </c>
      <c r="G882" s="75">
        <v>1</v>
      </c>
      <c r="J882" s="66" t="str">
        <f t="shared" ca="1" si="66"/>
        <v>14%</v>
      </c>
      <c r="K882" t="s">
        <v>59</v>
      </c>
      <c r="L882" s="66" t="str">
        <f t="shared" ca="1" si="67"/>
        <v>Sin costo</v>
      </c>
      <c r="M882" t="s">
        <v>64</v>
      </c>
      <c r="N882" t="s">
        <v>66</v>
      </c>
      <c r="O882" t="s">
        <v>66</v>
      </c>
      <c r="P882" t="s">
        <v>66</v>
      </c>
      <c r="R882" t="s">
        <v>66</v>
      </c>
      <c r="U882" t="s">
        <v>90</v>
      </c>
      <c r="V882" t="s">
        <v>66</v>
      </c>
      <c r="W882" t="s">
        <v>66</v>
      </c>
      <c r="X882" t="s">
        <v>66</v>
      </c>
      <c r="Y882" t="s">
        <v>66</v>
      </c>
      <c r="Z882" s="99" t="str">
        <f t="shared" ca="1" si="68"/>
        <v/>
      </c>
      <c r="AA882" s="101" t="str">
        <f t="shared" ca="1" si="69"/>
        <v/>
      </c>
    </row>
    <row r="883" spans="2:27" ht="27.6" customHeight="1">
      <c r="B883">
        <f t="shared" ca="1" si="65"/>
        <v>0</v>
      </c>
      <c r="C883" t="s">
        <v>36</v>
      </c>
      <c r="G883" s="75">
        <v>1</v>
      </c>
      <c r="J883" s="66" t="str">
        <f t="shared" ca="1" si="66"/>
        <v>14%</v>
      </c>
      <c r="K883" t="s">
        <v>59</v>
      </c>
      <c r="L883" s="66" t="str">
        <f t="shared" ca="1" si="67"/>
        <v>Sin costo</v>
      </c>
      <c r="M883" t="s">
        <v>64</v>
      </c>
      <c r="N883" t="s">
        <v>66</v>
      </c>
      <c r="O883" t="s">
        <v>66</v>
      </c>
      <c r="P883" t="s">
        <v>66</v>
      </c>
      <c r="R883" t="s">
        <v>66</v>
      </c>
      <c r="U883" t="s">
        <v>90</v>
      </c>
      <c r="V883" t="s">
        <v>66</v>
      </c>
      <c r="W883" t="s">
        <v>66</v>
      </c>
      <c r="X883" t="s">
        <v>66</v>
      </c>
      <c r="Y883" t="s">
        <v>66</v>
      </c>
      <c r="Z883" s="99" t="str">
        <f t="shared" ca="1" si="68"/>
        <v/>
      </c>
      <c r="AA883" s="101" t="str">
        <f t="shared" ca="1" si="69"/>
        <v/>
      </c>
    </row>
    <row r="884" spans="2:27" ht="27.6" customHeight="1">
      <c r="B884">
        <f t="shared" ca="1" si="65"/>
        <v>0</v>
      </c>
      <c r="C884" t="s">
        <v>36</v>
      </c>
      <c r="G884" s="75">
        <v>1</v>
      </c>
      <c r="J884" s="66" t="str">
        <f t="shared" ca="1" si="66"/>
        <v>14%</v>
      </c>
      <c r="K884" t="s">
        <v>59</v>
      </c>
      <c r="L884" s="66" t="str">
        <f t="shared" ca="1" si="67"/>
        <v>Sin costo</v>
      </c>
      <c r="M884" t="s">
        <v>64</v>
      </c>
      <c r="N884" t="s">
        <v>66</v>
      </c>
      <c r="O884" t="s">
        <v>66</v>
      </c>
      <c r="P884" t="s">
        <v>66</v>
      </c>
      <c r="R884" t="s">
        <v>66</v>
      </c>
      <c r="U884" t="s">
        <v>90</v>
      </c>
      <c r="V884" t="s">
        <v>66</v>
      </c>
      <c r="W884" t="s">
        <v>66</v>
      </c>
      <c r="X884" t="s">
        <v>66</v>
      </c>
      <c r="Y884" t="s">
        <v>66</v>
      </c>
      <c r="Z884" s="99" t="str">
        <f t="shared" ca="1" si="68"/>
        <v/>
      </c>
      <c r="AA884" s="101" t="str">
        <f t="shared" ca="1" si="69"/>
        <v/>
      </c>
    </row>
    <row r="885" spans="2:27" ht="27.6" customHeight="1">
      <c r="B885">
        <f t="shared" ca="1" si="65"/>
        <v>0</v>
      </c>
      <c r="C885" t="s">
        <v>36</v>
      </c>
      <c r="G885" s="75">
        <v>1</v>
      </c>
      <c r="J885" s="66" t="str">
        <f t="shared" ca="1" si="66"/>
        <v>14%</v>
      </c>
      <c r="K885" t="s">
        <v>59</v>
      </c>
      <c r="L885" s="66" t="str">
        <f t="shared" ca="1" si="67"/>
        <v>Sin costo</v>
      </c>
      <c r="M885" t="s">
        <v>64</v>
      </c>
      <c r="N885" t="s">
        <v>66</v>
      </c>
      <c r="O885" t="s">
        <v>66</v>
      </c>
      <c r="P885" t="s">
        <v>66</v>
      </c>
      <c r="R885" t="s">
        <v>66</v>
      </c>
      <c r="U885" t="s">
        <v>90</v>
      </c>
      <c r="V885" t="s">
        <v>66</v>
      </c>
      <c r="W885" t="s">
        <v>66</v>
      </c>
      <c r="X885" t="s">
        <v>66</v>
      </c>
      <c r="Y885" t="s">
        <v>66</v>
      </c>
      <c r="Z885" s="99" t="str">
        <f t="shared" ca="1" si="68"/>
        <v/>
      </c>
      <c r="AA885" s="101" t="str">
        <f t="shared" ca="1" si="69"/>
        <v/>
      </c>
    </row>
    <row r="886" spans="2:27" ht="27.6" customHeight="1">
      <c r="B886">
        <f t="shared" ca="1" si="65"/>
        <v>0</v>
      </c>
      <c r="C886" t="s">
        <v>36</v>
      </c>
      <c r="G886" s="75">
        <v>1</v>
      </c>
      <c r="J886" s="66" t="str">
        <f t="shared" ca="1" si="66"/>
        <v>14%</v>
      </c>
      <c r="K886" t="s">
        <v>59</v>
      </c>
      <c r="L886" s="66" t="str">
        <f t="shared" ca="1" si="67"/>
        <v>Sin costo</v>
      </c>
      <c r="M886" t="s">
        <v>64</v>
      </c>
      <c r="N886" t="s">
        <v>66</v>
      </c>
      <c r="O886" t="s">
        <v>66</v>
      </c>
      <c r="P886" t="s">
        <v>66</v>
      </c>
      <c r="R886" t="s">
        <v>66</v>
      </c>
      <c r="U886" t="s">
        <v>90</v>
      </c>
      <c r="V886" t="s">
        <v>66</v>
      </c>
      <c r="W886" t="s">
        <v>66</v>
      </c>
      <c r="X886" t="s">
        <v>66</v>
      </c>
      <c r="Y886" t="s">
        <v>66</v>
      </c>
      <c r="Z886" s="99" t="str">
        <f t="shared" ca="1" si="68"/>
        <v/>
      </c>
      <c r="AA886" s="101" t="str">
        <f t="shared" ca="1" si="69"/>
        <v/>
      </c>
    </row>
    <row r="887" spans="2:27" ht="27.6" customHeight="1">
      <c r="B887">
        <f t="shared" ca="1" si="65"/>
        <v>0</v>
      </c>
      <c r="C887" t="s">
        <v>36</v>
      </c>
      <c r="G887" s="75">
        <v>1</v>
      </c>
      <c r="J887" s="66" t="str">
        <f t="shared" ca="1" si="66"/>
        <v>14%</v>
      </c>
      <c r="K887" t="s">
        <v>59</v>
      </c>
      <c r="L887" s="66" t="str">
        <f t="shared" ca="1" si="67"/>
        <v>Sin costo</v>
      </c>
      <c r="M887" t="s">
        <v>64</v>
      </c>
      <c r="N887" t="s">
        <v>66</v>
      </c>
      <c r="O887" t="s">
        <v>66</v>
      </c>
      <c r="P887" t="s">
        <v>66</v>
      </c>
      <c r="R887" t="s">
        <v>66</v>
      </c>
      <c r="U887" t="s">
        <v>90</v>
      </c>
      <c r="V887" t="s">
        <v>66</v>
      </c>
      <c r="W887" t="s">
        <v>66</v>
      </c>
      <c r="X887" t="s">
        <v>66</v>
      </c>
      <c r="Y887" t="s">
        <v>66</v>
      </c>
      <c r="Z887" s="99" t="str">
        <f t="shared" ca="1" si="68"/>
        <v/>
      </c>
      <c r="AA887" s="101" t="str">
        <f t="shared" ca="1" si="69"/>
        <v/>
      </c>
    </row>
    <row r="888" spans="2:27" ht="27.6" customHeight="1">
      <c r="B888">
        <f t="shared" ca="1" si="65"/>
        <v>0</v>
      </c>
      <c r="C888" t="s">
        <v>36</v>
      </c>
      <c r="G888" s="75">
        <v>1</v>
      </c>
      <c r="J888" s="66" t="str">
        <f t="shared" ca="1" si="66"/>
        <v>14%</v>
      </c>
      <c r="K888" t="s">
        <v>59</v>
      </c>
      <c r="L888" s="66" t="str">
        <f t="shared" ca="1" si="67"/>
        <v>Sin costo</v>
      </c>
      <c r="M888" t="s">
        <v>64</v>
      </c>
      <c r="N888" t="s">
        <v>66</v>
      </c>
      <c r="O888" t="s">
        <v>66</v>
      </c>
      <c r="P888" t="s">
        <v>66</v>
      </c>
      <c r="R888" t="s">
        <v>66</v>
      </c>
      <c r="U888" t="s">
        <v>90</v>
      </c>
      <c r="V888" t="s">
        <v>66</v>
      </c>
      <c r="W888" t="s">
        <v>66</v>
      </c>
      <c r="X888" t="s">
        <v>66</v>
      </c>
      <c r="Y888" t="s">
        <v>66</v>
      </c>
      <c r="Z888" s="99" t="str">
        <f t="shared" ca="1" si="68"/>
        <v/>
      </c>
      <c r="AA888" s="101" t="str">
        <f t="shared" ca="1" si="69"/>
        <v/>
      </c>
    </row>
    <row r="889" spans="2:27" ht="27.6" customHeight="1">
      <c r="B889">
        <f t="shared" ca="1" si="65"/>
        <v>0</v>
      </c>
      <c r="C889" t="s">
        <v>36</v>
      </c>
      <c r="G889" s="75">
        <v>1</v>
      </c>
      <c r="J889" s="66" t="str">
        <f t="shared" ca="1" si="66"/>
        <v>14%</v>
      </c>
      <c r="K889" t="s">
        <v>59</v>
      </c>
      <c r="L889" s="66" t="str">
        <f t="shared" ca="1" si="67"/>
        <v>Sin costo</v>
      </c>
      <c r="M889" t="s">
        <v>64</v>
      </c>
      <c r="N889" t="s">
        <v>66</v>
      </c>
      <c r="O889" t="s">
        <v>66</v>
      </c>
      <c r="P889" t="s">
        <v>66</v>
      </c>
      <c r="R889" t="s">
        <v>66</v>
      </c>
      <c r="U889" t="s">
        <v>90</v>
      </c>
      <c r="V889" t="s">
        <v>66</v>
      </c>
      <c r="W889" t="s">
        <v>66</v>
      </c>
      <c r="X889" t="s">
        <v>66</v>
      </c>
      <c r="Y889" t="s">
        <v>66</v>
      </c>
      <c r="Z889" s="99" t="str">
        <f t="shared" ca="1" si="68"/>
        <v/>
      </c>
      <c r="AA889" s="101" t="str">
        <f t="shared" ca="1" si="69"/>
        <v/>
      </c>
    </row>
    <row r="890" spans="2:27" ht="27.6" customHeight="1">
      <c r="B890">
        <f t="shared" ca="1" si="65"/>
        <v>0</v>
      </c>
      <c r="C890" t="s">
        <v>36</v>
      </c>
      <c r="G890" s="75">
        <v>1</v>
      </c>
      <c r="J890" s="66" t="str">
        <f t="shared" ca="1" si="66"/>
        <v>14%</v>
      </c>
      <c r="K890" t="s">
        <v>59</v>
      </c>
      <c r="L890" s="66" t="str">
        <f t="shared" ca="1" si="67"/>
        <v>Sin costo</v>
      </c>
      <c r="M890" t="s">
        <v>64</v>
      </c>
      <c r="N890" t="s">
        <v>66</v>
      </c>
      <c r="O890" t="s">
        <v>66</v>
      </c>
      <c r="P890" t="s">
        <v>66</v>
      </c>
      <c r="R890" t="s">
        <v>66</v>
      </c>
      <c r="U890" t="s">
        <v>90</v>
      </c>
      <c r="V890" t="s">
        <v>66</v>
      </c>
      <c r="W890" t="s">
        <v>66</v>
      </c>
      <c r="X890" t="s">
        <v>66</v>
      </c>
      <c r="Y890" t="s">
        <v>66</v>
      </c>
      <c r="Z890" s="99" t="str">
        <f t="shared" ca="1" si="68"/>
        <v/>
      </c>
      <c r="AA890" s="101" t="str">
        <f t="shared" ca="1" si="69"/>
        <v/>
      </c>
    </row>
    <row r="891" spans="2:27" ht="27.6" customHeight="1">
      <c r="B891">
        <f t="shared" ca="1" si="65"/>
        <v>0</v>
      </c>
      <c r="C891" t="s">
        <v>36</v>
      </c>
      <c r="G891" s="75">
        <v>1</v>
      </c>
      <c r="J891" s="66" t="str">
        <f t="shared" ca="1" si="66"/>
        <v>14%</v>
      </c>
      <c r="K891" t="s">
        <v>59</v>
      </c>
      <c r="L891" s="66" t="str">
        <f t="shared" ca="1" si="67"/>
        <v>Sin costo</v>
      </c>
      <c r="M891" t="s">
        <v>64</v>
      </c>
      <c r="N891" t="s">
        <v>66</v>
      </c>
      <c r="O891" t="s">
        <v>66</v>
      </c>
      <c r="P891" t="s">
        <v>66</v>
      </c>
      <c r="R891" t="s">
        <v>66</v>
      </c>
      <c r="U891" t="s">
        <v>90</v>
      </c>
      <c r="V891" t="s">
        <v>66</v>
      </c>
      <c r="W891" t="s">
        <v>66</v>
      </c>
      <c r="X891" t="s">
        <v>66</v>
      </c>
      <c r="Y891" t="s">
        <v>66</v>
      </c>
      <c r="Z891" s="99" t="str">
        <f t="shared" ca="1" si="68"/>
        <v/>
      </c>
      <c r="AA891" s="101" t="str">
        <f t="shared" ca="1" si="69"/>
        <v/>
      </c>
    </row>
    <row r="892" spans="2:27" ht="27.6" customHeight="1">
      <c r="B892">
        <f t="shared" ca="1" si="65"/>
        <v>0</v>
      </c>
      <c r="C892" t="s">
        <v>36</v>
      </c>
      <c r="G892" s="75">
        <v>1</v>
      </c>
      <c r="J892" s="66" t="str">
        <f t="shared" ca="1" si="66"/>
        <v>14%</v>
      </c>
      <c r="K892" t="s">
        <v>59</v>
      </c>
      <c r="L892" s="66" t="str">
        <f t="shared" ca="1" si="67"/>
        <v>Sin costo</v>
      </c>
      <c r="M892" t="s">
        <v>64</v>
      </c>
      <c r="N892" t="s">
        <v>66</v>
      </c>
      <c r="O892" t="s">
        <v>66</v>
      </c>
      <c r="P892" t="s">
        <v>66</v>
      </c>
      <c r="R892" t="s">
        <v>66</v>
      </c>
      <c r="U892" t="s">
        <v>90</v>
      </c>
      <c r="V892" t="s">
        <v>66</v>
      </c>
      <c r="W892" t="s">
        <v>66</v>
      </c>
      <c r="X892" t="s">
        <v>66</v>
      </c>
      <c r="Y892" t="s">
        <v>66</v>
      </c>
      <c r="Z892" s="99" t="str">
        <f t="shared" ca="1" si="68"/>
        <v/>
      </c>
      <c r="AA892" s="101" t="str">
        <f t="shared" ca="1" si="69"/>
        <v/>
      </c>
    </row>
    <row r="893" spans="2:27" ht="27.6" customHeight="1">
      <c r="B893">
        <f t="shared" ca="1" si="65"/>
        <v>0</v>
      </c>
      <c r="C893" t="s">
        <v>36</v>
      </c>
      <c r="G893" s="75">
        <v>1</v>
      </c>
      <c r="J893" s="66" t="str">
        <f t="shared" ca="1" si="66"/>
        <v>14%</v>
      </c>
      <c r="K893" t="s">
        <v>59</v>
      </c>
      <c r="L893" s="66" t="str">
        <f t="shared" ca="1" si="67"/>
        <v>Sin costo</v>
      </c>
      <c r="M893" t="s">
        <v>64</v>
      </c>
      <c r="N893" t="s">
        <v>66</v>
      </c>
      <c r="O893" t="s">
        <v>66</v>
      </c>
      <c r="P893" t="s">
        <v>66</v>
      </c>
      <c r="R893" t="s">
        <v>66</v>
      </c>
      <c r="U893" t="s">
        <v>90</v>
      </c>
      <c r="V893" t="s">
        <v>66</v>
      </c>
      <c r="W893" t="s">
        <v>66</v>
      </c>
      <c r="X893" t="s">
        <v>66</v>
      </c>
      <c r="Y893" t="s">
        <v>66</v>
      </c>
      <c r="Z893" s="99" t="str">
        <f t="shared" ca="1" si="68"/>
        <v/>
      </c>
      <c r="AA893" s="101" t="str">
        <f t="shared" ca="1" si="69"/>
        <v/>
      </c>
    </row>
    <row r="894" spans="2:27" ht="27.6" customHeight="1">
      <c r="B894">
        <f t="shared" ca="1" si="65"/>
        <v>0</v>
      </c>
      <c r="C894" t="s">
        <v>36</v>
      </c>
      <c r="G894" s="75">
        <v>1</v>
      </c>
      <c r="J894" s="66" t="str">
        <f t="shared" ca="1" si="66"/>
        <v>14%</v>
      </c>
      <c r="K894" t="s">
        <v>59</v>
      </c>
      <c r="L894" s="66" t="str">
        <f t="shared" ca="1" si="67"/>
        <v>Sin costo</v>
      </c>
      <c r="M894" t="s">
        <v>64</v>
      </c>
      <c r="N894" t="s">
        <v>66</v>
      </c>
      <c r="O894" t="s">
        <v>66</v>
      </c>
      <c r="P894" t="s">
        <v>66</v>
      </c>
      <c r="R894" t="s">
        <v>66</v>
      </c>
      <c r="U894" t="s">
        <v>90</v>
      </c>
      <c r="V894" t="s">
        <v>66</v>
      </c>
      <c r="W894" t="s">
        <v>66</v>
      </c>
      <c r="X894" t="s">
        <v>66</v>
      </c>
      <c r="Y894" t="s">
        <v>66</v>
      </c>
      <c r="Z894" s="99" t="str">
        <f t="shared" ca="1" si="68"/>
        <v/>
      </c>
      <c r="AA894" s="101" t="str">
        <f t="shared" ca="1" si="69"/>
        <v/>
      </c>
    </row>
    <row r="895" spans="2:27" ht="27.6" customHeight="1">
      <c r="B895">
        <f t="shared" ca="1" si="65"/>
        <v>0</v>
      </c>
      <c r="C895" t="s">
        <v>36</v>
      </c>
      <c r="G895" s="75">
        <v>1</v>
      </c>
      <c r="J895" s="66" t="str">
        <f t="shared" ca="1" si="66"/>
        <v>14%</v>
      </c>
      <c r="K895" t="s">
        <v>59</v>
      </c>
      <c r="L895" s="66" t="str">
        <f t="shared" ca="1" si="67"/>
        <v>Sin costo</v>
      </c>
      <c r="M895" t="s">
        <v>64</v>
      </c>
      <c r="N895" t="s">
        <v>66</v>
      </c>
      <c r="O895" t="s">
        <v>66</v>
      </c>
      <c r="P895" t="s">
        <v>66</v>
      </c>
      <c r="R895" t="s">
        <v>66</v>
      </c>
      <c r="U895" t="s">
        <v>90</v>
      </c>
      <c r="V895" t="s">
        <v>66</v>
      </c>
      <c r="W895" t="s">
        <v>66</v>
      </c>
      <c r="X895" t="s">
        <v>66</v>
      </c>
      <c r="Y895" t="s">
        <v>66</v>
      </c>
      <c r="Z895" s="99" t="str">
        <f t="shared" ca="1" si="68"/>
        <v/>
      </c>
      <c r="AA895" s="101" t="str">
        <f t="shared" ca="1" si="69"/>
        <v/>
      </c>
    </row>
    <row r="896" spans="2:27" ht="27.6" customHeight="1">
      <c r="B896">
        <f t="shared" ca="1" si="65"/>
        <v>0</v>
      </c>
      <c r="C896" t="s">
        <v>36</v>
      </c>
      <c r="G896" s="75">
        <v>1</v>
      </c>
      <c r="J896" s="66" t="str">
        <f t="shared" ca="1" si="66"/>
        <v>14%</v>
      </c>
      <c r="K896" t="s">
        <v>59</v>
      </c>
      <c r="L896" s="66" t="str">
        <f t="shared" ca="1" si="67"/>
        <v>Sin costo</v>
      </c>
      <c r="M896" t="s">
        <v>64</v>
      </c>
      <c r="N896" t="s">
        <v>66</v>
      </c>
      <c r="O896" t="s">
        <v>66</v>
      </c>
      <c r="P896" t="s">
        <v>66</v>
      </c>
      <c r="R896" t="s">
        <v>66</v>
      </c>
      <c r="U896" t="s">
        <v>90</v>
      </c>
      <c r="V896" t="s">
        <v>66</v>
      </c>
      <c r="W896" t="s">
        <v>66</v>
      </c>
      <c r="X896" t="s">
        <v>66</v>
      </c>
      <c r="Y896" t="s">
        <v>66</v>
      </c>
      <c r="Z896" s="99" t="str">
        <f t="shared" ca="1" si="68"/>
        <v/>
      </c>
      <c r="AA896" s="101" t="str">
        <f t="shared" ca="1" si="69"/>
        <v/>
      </c>
    </row>
    <row r="897" spans="2:27" ht="27.6" customHeight="1">
      <c r="B897">
        <f t="shared" ca="1" si="65"/>
        <v>0</v>
      </c>
      <c r="C897" t="s">
        <v>36</v>
      </c>
      <c r="G897" s="75">
        <v>1</v>
      </c>
      <c r="J897" s="66" t="str">
        <f t="shared" ca="1" si="66"/>
        <v>14%</v>
      </c>
      <c r="K897" t="s">
        <v>59</v>
      </c>
      <c r="L897" s="66" t="str">
        <f t="shared" ca="1" si="67"/>
        <v>Sin costo</v>
      </c>
      <c r="M897" t="s">
        <v>64</v>
      </c>
      <c r="N897" t="s">
        <v>66</v>
      </c>
      <c r="O897" t="s">
        <v>66</v>
      </c>
      <c r="P897" t="s">
        <v>66</v>
      </c>
      <c r="R897" t="s">
        <v>66</v>
      </c>
      <c r="U897" t="s">
        <v>90</v>
      </c>
      <c r="V897" t="s">
        <v>66</v>
      </c>
      <c r="W897" t="s">
        <v>66</v>
      </c>
      <c r="X897" t="s">
        <v>66</v>
      </c>
      <c r="Y897" t="s">
        <v>66</v>
      </c>
      <c r="Z897" s="99" t="str">
        <f t="shared" ca="1" si="68"/>
        <v/>
      </c>
      <c r="AA897" s="101" t="str">
        <f t="shared" ca="1" si="69"/>
        <v/>
      </c>
    </row>
    <row r="898" spans="2:27" ht="27.6" customHeight="1">
      <c r="B898">
        <f t="shared" ca="1" si="65"/>
        <v>0</v>
      </c>
      <c r="C898" t="s">
        <v>36</v>
      </c>
      <c r="G898" s="75">
        <v>1</v>
      </c>
      <c r="J898" s="66" t="str">
        <f t="shared" ca="1" si="66"/>
        <v>14%</v>
      </c>
      <c r="K898" t="s">
        <v>59</v>
      </c>
      <c r="L898" s="66" t="str">
        <f t="shared" ca="1" si="67"/>
        <v>Sin costo</v>
      </c>
      <c r="M898" t="s">
        <v>64</v>
      </c>
      <c r="N898" t="s">
        <v>66</v>
      </c>
      <c r="O898" t="s">
        <v>66</v>
      </c>
      <c r="P898" t="s">
        <v>66</v>
      </c>
      <c r="R898" t="s">
        <v>66</v>
      </c>
      <c r="U898" t="s">
        <v>90</v>
      </c>
      <c r="V898" t="s">
        <v>66</v>
      </c>
      <c r="W898" t="s">
        <v>66</v>
      </c>
      <c r="X898" t="s">
        <v>66</v>
      </c>
      <c r="Y898" t="s">
        <v>66</v>
      </c>
      <c r="Z898" s="99" t="str">
        <f t="shared" ca="1" si="68"/>
        <v/>
      </c>
      <c r="AA898" s="101" t="str">
        <f t="shared" ca="1" si="69"/>
        <v/>
      </c>
    </row>
    <row r="899" spans="2:27" ht="27.6" customHeight="1">
      <c r="B899">
        <f t="shared" ca="1" si="65"/>
        <v>0</v>
      </c>
      <c r="C899" t="s">
        <v>36</v>
      </c>
      <c r="G899" s="75">
        <v>1</v>
      </c>
      <c r="J899" s="66" t="str">
        <f t="shared" ca="1" si="66"/>
        <v>14%</v>
      </c>
      <c r="K899" t="s">
        <v>59</v>
      </c>
      <c r="L899" s="66" t="str">
        <f t="shared" ca="1" si="67"/>
        <v>Sin costo</v>
      </c>
      <c r="M899" t="s">
        <v>64</v>
      </c>
      <c r="N899" t="s">
        <v>66</v>
      </c>
      <c r="O899" t="s">
        <v>66</v>
      </c>
      <c r="P899" t="s">
        <v>66</v>
      </c>
      <c r="R899" t="s">
        <v>66</v>
      </c>
      <c r="U899" t="s">
        <v>90</v>
      </c>
      <c r="V899" t="s">
        <v>66</v>
      </c>
      <c r="W899" t="s">
        <v>66</v>
      </c>
      <c r="X899" t="s">
        <v>66</v>
      </c>
      <c r="Y899" t="s">
        <v>66</v>
      </c>
      <c r="Z899" s="99" t="str">
        <f t="shared" ca="1" si="68"/>
        <v/>
      </c>
      <c r="AA899" s="101" t="str">
        <f t="shared" ca="1" si="69"/>
        <v/>
      </c>
    </row>
    <row r="900" spans="2:27" ht="27.6" customHeight="1">
      <c r="B900">
        <f t="shared" ca="1" si="65"/>
        <v>0</v>
      </c>
      <c r="C900" t="s">
        <v>36</v>
      </c>
      <c r="G900" s="75">
        <v>1</v>
      </c>
      <c r="J900" s="66" t="str">
        <f t="shared" ca="1" si="66"/>
        <v>14%</v>
      </c>
      <c r="K900" t="s">
        <v>59</v>
      </c>
      <c r="L900" s="66" t="str">
        <f t="shared" ca="1" si="67"/>
        <v>Sin costo</v>
      </c>
      <c r="M900" t="s">
        <v>64</v>
      </c>
      <c r="N900" t="s">
        <v>66</v>
      </c>
      <c r="O900" t="s">
        <v>66</v>
      </c>
      <c r="P900" t="s">
        <v>66</v>
      </c>
      <c r="R900" t="s">
        <v>66</v>
      </c>
      <c r="U900" t="s">
        <v>90</v>
      </c>
      <c r="V900" t="s">
        <v>66</v>
      </c>
      <c r="W900" t="s">
        <v>66</v>
      </c>
      <c r="X900" t="s">
        <v>66</v>
      </c>
      <c r="Y900" t="s">
        <v>66</v>
      </c>
      <c r="Z900" s="99" t="str">
        <f t="shared" ca="1" si="68"/>
        <v/>
      </c>
      <c r="AA900" s="101" t="str">
        <f t="shared" ca="1" si="69"/>
        <v/>
      </c>
    </row>
    <row r="901" spans="2:27" ht="27.6" customHeight="1">
      <c r="B901">
        <f t="shared" ca="1" si="65"/>
        <v>0</v>
      </c>
      <c r="C901" t="s">
        <v>36</v>
      </c>
      <c r="G901" s="75">
        <v>1</v>
      </c>
      <c r="J901" s="66" t="str">
        <f t="shared" ca="1" si="66"/>
        <v>14%</v>
      </c>
      <c r="K901" t="s">
        <v>59</v>
      </c>
      <c r="L901" s="66" t="str">
        <f t="shared" ca="1" si="67"/>
        <v>Sin costo</v>
      </c>
      <c r="M901" t="s">
        <v>64</v>
      </c>
      <c r="N901" t="s">
        <v>66</v>
      </c>
      <c r="O901" t="s">
        <v>66</v>
      </c>
      <c r="P901" t="s">
        <v>66</v>
      </c>
      <c r="R901" t="s">
        <v>66</v>
      </c>
      <c r="U901" t="s">
        <v>90</v>
      </c>
      <c r="V901" t="s">
        <v>66</v>
      </c>
      <c r="W901" t="s">
        <v>66</v>
      </c>
      <c r="X901" t="s">
        <v>66</v>
      </c>
      <c r="Y901" t="s">
        <v>66</v>
      </c>
      <c r="Z901" s="99" t="str">
        <f t="shared" ca="1" si="68"/>
        <v/>
      </c>
      <c r="AA901" s="101" t="str">
        <f t="shared" ca="1" si="69"/>
        <v/>
      </c>
    </row>
    <row r="902" spans="2:27" ht="27.6" customHeight="1">
      <c r="B902">
        <f t="shared" ca="1" si="65"/>
        <v>0</v>
      </c>
      <c r="C902" t="s">
        <v>36</v>
      </c>
      <c r="G902" s="75">
        <v>1</v>
      </c>
      <c r="J902" s="66" t="str">
        <f t="shared" ca="1" si="66"/>
        <v>14%</v>
      </c>
      <c r="K902" t="s">
        <v>59</v>
      </c>
      <c r="L902" s="66" t="str">
        <f t="shared" ca="1" si="67"/>
        <v>Sin costo</v>
      </c>
      <c r="M902" t="s">
        <v>64</v>
      </c>
      <c r="N902" t="s">
        <v>66</v>
      </c>
      <c r="O902" t="s">
        <v>66</v>
      </c>
      <c r="P902" t="s">
        <v>66</v>
      </c>
      <c r="R902" t="s">
        <v>66</v>
      </c>
      <c r="U902" t="s">
        <v>90</v>
      </c>
      <c r="V902" t="s">
        <v>66</v>
      </c>
      <c r="W902" t="s">
        <v>66</v>
      </c>
      <c r="X902" t="s">
        <v>66</v>
      </c>
      <c r="Y902" t="s">
        <v>66</v>
      </c>
      <c r="Z902" s="99" t="str">
        <f t="shared" ca="1" si="68"/>
        <v/>
      </c>
      <c r="AA902" s="101" t="str">
        <f t="shared" ca="1" si="69"/>
        <v/>
      </c>
    </row>
    <row r="903" spans="2:27" ht="27.6" customHeight="1">
      <c r="B903">
        <f t="shared" ref="B903:B966" ca="1" si="70">LEN(INDIRECT(ADDRESS(ROW() + (0),COLUMN() + (-1))))</f>
        <v>0</v>
      </c>
      <c r="C903" t="s">
        <v>36</v>
      </c>
      <c r="G903" s="75">
        <v>1</v>
      </c>
      <c r="J903" s="66" t="str">
        <f t="shared" ref="J903:J966" ca="1" si="71">IF(INDIRECT(ADDRESS(ROW() + (0),COLUMN() + (1)))="Agregar cuotas", IF(("14%")="", "-", "14%"), IF(INDIRECT(ADDRESS(ROW() + (0),COLUMN() + (1)))="No agregar cuotas", IF(("14%")="", "-", "14%"), "-"))</f>
        <v>14%</v>
      </c>
      <c r="K903" t="s">
        <v>59</v>
      </c>
      <c r="L903" s="66" t="str">
        <f t="shared" ref="L903:L966" ca="1" si="72">IF(INDIRECT(ADDRESS(ROW() + (0),COLUMN() + (-1)))="Agregar cuotas", IF(("13.9%")="", "Sin costo", "13.9%"), IF(INDIRECT(ADDRESS(ROW() + (0),COLUMN() + (-1)))="No agregar cuotas", IF(("")="", "Sin costo", ""), "-"))</f>
        <v>Sin costo</v>
      </c>
      <c r="M903" t="s">
        <v>64</v>
      </c>
      <c r="N903" t="s">
        <v>66</v>
      </c>
      <c r="O903" t="s">
        <v>66</v>
      </c>
      <c r="P903" t="s">
        <v>66</v>
      </c>
      <c r="R903" t="s">
        <v>66</v>
      </c>
      <c r="U903" t="s">
        <v>90</v>
      </c>
      <c r="V903" t="s">
        <v>66</v>
      </c>
      <c r="W903" t="s">
        <v>66</v>
      </c>
      <c r="X903" t="s">
        <v>66</v>
      </c>
      <c r="Y903" t="s">
        <v>66</v>
      </c>
      <c r="Z903" s="99" t="str">
        <f t="shared" ref="Z903:Z966" ca="1" si="73">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903" s="101" t="str">
        <f t="shared" ref="AA903:AA966" ca="1" si="74">IF(TRIM(INDIRECT("A"&amp;ROW())) &lt;&gt; "",FALSE,"")</f>
        <v/>
      </c>
    </row>
    <row r="904" spans="2:27" ht="27.6" customHeight="1">
      <c r="B904">
        <f t="shared" ca="1" si="70"/>
        <v>0</v>
      </c>
      <c r="C904" t="s">
        <v>36</v>
      </c>
      <c r="G904" s="75">
        <v>1</v>
      </c>
      <c r="J904" s="66" t="str">
        <f t="shared" ca="1" si="71"/>
        <v>14%</v>
      </c>
      <c r="K904" t="s">
        <v>59</v>
      </c>
      <c r="L904" s="66" t="str">
        <f t="shared" ca="1" si="72"/>
        <v>Sin costo</v>
      </c>
      <c r="M904" t="s">
        <v>64</v>
      </c>
      <c r="N904" t="s">
        <v>66</v>
      </c>
      <c r="O904" t="s">
        <v>66</v>
      </c>
      <c r="P904" t="s">
        <v>66</v>
      </c>
      <c r="R904" t="s">
        <v>66</v>
      </c>
      <c r="U904" t="s">
        <v>90</v>
      </c>
      <c r="V904" t="s">
        <v>66</v>
      </c>
      <c r="W904" t="s">
        <v>66</v>
      </c>
      <c r="X904" t="s">
        <v>66</v>
      </c>
      <c r="Y904" t="s">
        <v>66</v>
      </c>
      <c r="Z904" s="99" t="str">
        <f t="shared" ca="1" si="73"/>
        <v/>
      </c>
      <c r="AA904" s="101" t="str">
        <f t="shared" ca="1" si="74"/>
        <v/>
      </c>
    </row>
    <row r="905" spans="2:27" ht="27.6" customHeight="1">
      <c r="B905">
        <f t="shared" ca="1" si="70"/>
        <v>0</v>
      </c>
      <c r="C905" t="s">
        <v>36</v>
      </c>
      <c r="G905" s="75">
        <v>1</v>
      </c>
      <c r="J905" s="66" t="str">
        <f t="shared" ca="1" si="71"/>
        <v>14%</v>
      </c>
      <c r="K905" t="s">
        <v>59</v>
      </c>
      <c r="L905" s="66" t="str">
        <f t="shared" ca="1" si="72"/>
        <v>Sin costo</v>
      </c>
      <c r="M905" t="s">
        <v>64</v>
      </c>
      <c r="N905" t="s">
        <v>66</v>
      </c>
      <c r="O905" t="s">
        <v>66</v>
      </c>
      <c r="P905" t="s">
        <v>66</v>
      </c>
      <c r="R905" t="s">
        <v>66</v>
      </c>
      <c r="U905" t="s">
        <v>90</v>
      </c>
      <c r="V905" t="s">
        <v>66</v>
      </c>
      <c r="W905" t="s">
        <v>66</v>
      </c>
      <c r="X905" t="s">
        <v>66</v>
      </c>
      <c r="Y905" t="s">
        <v>66</v>
      </c>
      <c r="Z905" s="99" t="str">
        <f t="shared" ca="1" si="73"/>
        <v/>
      </c>
      <c r="AA905" s="101" t="str">
        <f t="shared" ca="1" si="74"/>
        <v/>
      </c>
    </row>
    <row r="906" spans="2:27" ht="27.6" customHeight="1">
      <c r="B906">
        <f t="shared" ca="1" si="70"/>
        <v>0</v>
      </c>
      <c r="C906" t="s">
        <v>36</v>
      </c>
      <c r="G906" s="75">
        <v>1</v>
      </c>
      <c r="J906" s="66" t="str">
        <f t="shared" ca="1" si="71"/>
        <v>14%</v>
      </c>
      <c r="K906" t="s">
        <v>59</v>
      </c>
      <c r="L906" s="66" t="str">
        <f t="shared" ca="1" si="72"/>
        <v>Sin costo</v>
      </c>
      <c r="M906" t="s">
        <v>64</v>
      </c>
      <c r="N906" t="s">
        <v>66</v>
      </c>
      <c r="O906" t="s">
        <v>66</v>
      </c>
      <c r="P906" t="s">
        <v>66</v>
      </c>
      <c r="R906" t="s">
        <v>66</v>
      </c>
      <c r="U906" t="s">
        <v>90</v>
      </c>
      <c r="V906" t="s">
        <v>66</v>
      </c>
      <c r="W906" t="s">
        <v>66</v>
      </c>
      <c r="X906" t="s">
        <v>66</v>
      </c>
      <c r="Y906" t="s">
        <v>66</v>
      </c>
      <c r="Z906" s="99" t="str">
        <f t="shared" ca="1" si="73"/>
        <v/>
      </c>
      <c r="AA906" s="101" t="str">
        <f t="shared" ca="1" si="74"/>
        <v/>
      </c>
    </row>
    <row r="907" spans="2:27" ht="27.6" customHeight="1">
      <c r="B907">
        <f t="shared" ca="1" si="70"/>
        <v>0</v>
      </c>
      <c r="C907" t="s">
        <v>36</v>
      </c>
      <c r="G907" s="75">
        <v>1</v>
      </c>
      <c r="J907" s="66" t="str">
        <f t="shared" ca="1" si="71"/>
        <v>14%</v>
      </c>
      <c r="K907" t="s">
        <v>59</v>
      </c>
      <c r="L907" s="66" t="str">
        <f t="shared" ca="1" si="72"/>
        <v>Sin costo</v>
      </c>
      <c r="M907" t="s">
        <v>64</v>
      </c>
      <c r="N907" t="s">
        <v>66</v>
      </c>
      <c r="O907" t="s">
        <v>66</v>
      </c>
      <c r="P907" t="s">
        <v>66</v>
      </c>
      <c r="R907" t="s">
        <v>66</v>
      </c>
      <c r="U907" t="s">
        <v>90</v>
      </c>
      <c r="V907" t="s">
        <v>66</v>
      </c>
      <c r="W907" t="s">
        <v>66</v>
      </c>
      <c r="X907" t="s">
        <v>66</v>
      </c>
      <c r="Y907" t="s">
        <v>66</v>
      </c>
      <c r="Z907" s="99" t="str">
        <f t="shared" ca="1" si="73"/>
        <v/>
      </c>
      <c r="AA907" s="101" t="str">
        <f t="shared" ca="1" si="74"/>
        <v/>
      </c>
    </row>
    <row r="908" spans="2:27" ht="27.6" customHeight="1">
      <c r="B908">
        <f t="shared" ca="1" si="70"/>
        <v>0</v>
      </c>
      <c r="C908" t="s">
        <v>36</v>
      </c>
      <c r="G908" s="75">
        <v>1</v>
      </c>
      <c r="J908" s="66" t="str">
        <f t="shared" ca="1" si="71"/>
        <v>14%</v>
      </c>
      <c r="K908" t="s">
        <v>59</v>
      </c>
      <c r="L908" s="66" t="str">
        <f t="shared" ca="1" si="72"/>
        <v>Sin costo</v>
      </c>
      <c r="M908" t="s">
        <v>64</v>
      </c>
      <c r="N908" t="s">
        <v>66</v>
      </c>
      <c r="O908" t="s">
        <v>66</v>
      </c>
      <c r="P908" t="s">
        <v>66</v>
      </c>
      <c r="R908" t="s">
        <v>66</v>
      </c>
      <c r="U908" t="s">
        <v>90</v>
      </c>
      <c r="V908" t="s">
        <v>66</v>
      </c>
      <c r="W908" t="s">
        <v>66</v>
      </c>
      <c r="X908" t="s">
        <v>66</v>
      </c>
      <c r="Y908" t="s">
        <v>66</v>
      </c>
      <c r="Z908" s="99" t="str">
        <f t="shared" ca="1" si="73"/>
        <v/>
      </c>
      <c r="AA908" s="101" t="str">
        <f t="shared" ca="1" si="74"/>
        <v/>
      </c>
    </row>
    <row r="909" spans="2:27" ht="27.6" customHeight="1">
      <c r="B909">
        <f t="shared" ca="1" si="70"/>
        <v>0</v>
      </c>
      <c r="C909" t="s">
        <v>36</v>
      </c>
      <c r="G909" s="75">
        <v>1</v>
      </c>
      <c r="J909" s="66" t="str">
        <f t="shared" ca="1" si="71"/>
        <v>14%</v>
      </c>
      <c r="K909" t="s">
        <v>59</v>
      </c>
      <c r="L909" s="66" t="str">
        <f t="shared" ca="1" si="72"/>
        <v>Sin costo</v>
      </c>
      <c r="M909" t="s">
        <v>64</v>
      </c>
      <c r="N909" t="s">
        <v>66</v>
      </c>
      <c r="O909" t="s">
        <v>66</v>
      </c>
      <c r="P909" t="s">
        <v>66</v>
      </c>
      <c r="R909" t="s">
        <v>66</v>
      </c>
      <c r="U909" t="s">
        <v>90</v>
      </c>
      <c r="V909" t="s">
        <v>66</v>
      </c>
      <c r="W909" t="s">
        <v>66</v>
      </c>
      <c r="X909" t="s">
        <v>66</v>
      </c>
      <c r="Y909" t="s">
        <v>66</v>
      </c>
      <c r="Z909" s="99" t="str">
        <f t="shared" ca="1" si="73"/>
        <v/>
      </c>
      <c r="AA909" s="101" t="str">
        <f t="shared" ca="1" si="74"/>
        <v/>
      </c>
    </row>
    <row r="910" spans="2:27" ht="27.6" customHeight="1">
      <c r="B910">
        <f t="shared" ca="1" si="70"/>
        <v>0</v>
      </c>
      <c r="C910" t="s">
        <v>36</v>
      </c>
      <c r="G910" s="75">
        <v>1</v>
      </c>
      <c r="J910" s="66" t="str">
        <f t="shared" ca="1" si="71"/>
        <v>14%</v>
      </c>
      <c r="K910" t="s">
        <v>59</v>
      </c>
      <c r="L910" s="66" t="str">
        <f t="shared" ca="1" si="72"/>
        <v>Sin costo</v>
      </c>
      <c r="M910" t="s">
        <v>64</v>
      </c>
      <c r="N910" t="s">
        <v>66</v>
      </c>
      <c r="O910" t="s">
        <v>66</v>
      </c>
      <c r="P910" t="s">
        <v>66</v>
      </c>
      <c r="R910" t="s">
        <v>66</v>
      </c>
      <c r="U910" t="s">
        <v>90</v>
      </c>
      <c r="V910" t="s">
        <v>66</v>
      </c>
      <c r="W910" t="s">
        <v>66</v>
      </c>
      <c r="X910" t="s">
        <v>66</v>
      </c>
      <c r="Y910" t="s">
        <v>66</v>
      </c>
      <c r="Z910" s="99" t="str">
        <f t="shared" ca="1" si="73"/>
        <v/>
      </c>
      <c r="AA910" s="101" t="str">
        <f t="shared" ca="1" si="74"/>
        <v/>
      </c>
    </row>
    <row r="911" spans="2:27" ht="27.6" customHeight="1">
      <c r="B911">
        <f t="shared" ca="1" si="70"/>
        <v>0</v>
      </c>
      <c r="C911" t="s">
        <v>36</v>
      </c>
      <c r="G911" s="75">
        <v>1</v>
      </c>
      <c r="J911" s="66" t="str">
        <f t="shared" ca="1" si="71"/>
        <v>14%</v>
      </c>
      <c r="K911" t="s">
        <v>59</v>
      </c>
      <c r="L911" s="66" t="str">
        <f t="shared" ca="1" si="72"/>
        <v>Sin costo</v>
      </c>
      <c r="M911" t="s">
        <v>64</v>
      </c>
      <c r="N911" t="s">
        <v>66</v>
      </c>
      <c r="O911" t="s">
        <v>66</v>
      </c>
      <c r="P911" t="s">
        <v>66</v>
      </c>
      <c r="R911" t="s">
        <v>66</v>
      </c>
      <c r="U911" t="s">
        <v>90</v>
      </c>
      <c r="V911" t="s">
        <v>66</v>
      </c>
      <c r="W911" t="s">
        <v>66</v>
      </c>
      <c r="X911" t="s">
        <v>66</v>
      </c>
      <c r="Y911" t="s">
        <v>66</v>
      </c>
      <c r="Z911" s="99" t="str">
        <f t="shared" ca="1" si="73"/>
        <v/>
      </c>
      <c r="AA911" s="101" t="str">
        <f t="shared" ca="1" si="74"/>
        <v/>
      </c>
    </row>
    <row r="912" spans="2:27" ht="27.6" customHeight="1">
      <c r="B912">
        <f t="shared" ca="1" si="70"/>
        <v>0</v>
      </c>
      <c r="C912" t="s">
        <v>36</v>
      </c>
      <c r="G912" s="75">
        <v>1</v>
      </c>
      <c r="J912" s="66" t="str">
        <f t="shared" ca="1" si="71"/>
        <v>14%</v>
      </c>
      <c r="K912" t="s">
        <v>59</v>
      </c>
      <c r="L912" s="66" t="str">
        <f t="shared" ca="1" si="72"/>
        <v>Sin costo</v>
      </c>
      <c r="M912" t="s">
        <v>64</v>
      </c>
      <c r="N912" t="s">
        <v>66</v>
      </c>
      <c r="O912" t="s">
        <v>66</v>
      </c>
      <c r="P912" t="s">
        <v>66</v>
      </c>
      <c r="R912" t="s">
        <v>66</v>
      </c>
      <c r="U912" t="s">
        <v>90</v>
      </c>
      <c r="V912" t="s">
        <v>66</v>
      </c>
      <c r="W912" t="s">
        <v>66</v>
      </c>
      <c r="X912" t="s">
        <v>66</v>
      </c>
      <c r="Y912" t="s">
        <v>66</v>
      </c>
      <c r="Z912" s="99" t="str">
        <f t="shared" ca="1" si="73"/>
        <v/>
      </c>
      <c r="AA912" s="101" t="str">
        <f t="shared" ca="1" si="74"/>
        <v/>
      </c>
    </row>
    <row r="913" spans="2:27" ht="27.6" customHeight="1">
      <c r="B913">
        <f t="shared" ca="1" si="70"/>
        <v>0</v>
      </c>
      <c r="C913" t="s">
        <v>36</v>
      </c>
      <c r="G913" s="75">
        <v>1</v>
      </c>
      <c r="J913" s="66" t="str">
        <f t="shared" ca="1" si="71"/>
        <v>14%</v>
      </c>
      <c r="K913" t="s">
        <v>59</v>
      </c>
      <c r="L913" s="66" t="str">
        <f t="shared" ca="1" si="72"/>
        <v>Sin costo</v>
      </c>
      <c r="M913" t="s">
        <v>64</v>
      </c>
      <c r="N913" t="s">
        <v>66</v>
      </c>
      <c r="O913" t="s">
        <v>66</v>
      </c>
      <c r="P913" t="s">
        <v>66</v>
      </c>
      <c r="R913" t="s">
        <v>66</v>
      </c>
      <c r="U913" t="s">
        <v>90</v>
      </c>
      <c r="V913" t="s">
        <v>66</v>
      </c>
      <c r="W913" t="s">
        <v>66</v>
      </c>
      <c r="X913" t="s">
        <v>66</v>
      </c>
      <c r="Y913" t="s">
        <v>66</v>
      </c>
      <c r="Z913" s="99" t="str">
        <f t="shared" ca="1" si="73"/>
        <v/>
      </c>
      <c r="AA913" s="101" t="str">
        <f t="shared" ca="1" si="74"/>
        <v/>
      </c>
    </row>
    <row r="914" spans="2:27" ht="27.6" customHeight="1">
      <c r="B914">
        <f t="shared" ca="1" si="70"/>
        <v>0</v>
      </c>
      <c r="C914" t="s">
        <v>36</v>
      </c>
      <c r="G914" s="75">
        <v>1</v>
      </c>
      <c r="J914" s="66" t="str">
        <f t="shared" ca="1" si="71"/>
        <v>14%</v>
      </c>
      <c r="K914" t="s">
        <v>59</v>
      </c>
      <c r="L914" s="66" t="str">
        <f t="shared" ca="1" si="72"/>
        <v>Sin costo</v>
      </c>
      <c r="M914" t="s">
        <v>64</v>
      </c>
      <c r="N914" t="s">
        <v>66</v>
      </c>
      <c r="O914" t="s">
        <v>66</v>
      </c>
      <c r="P914" t="s">
        <v>66</v>
      </c>
      <c r="R914" t="s">
        <v>66</v>
      </c>
      <c r="U914" t="s">
        <v>90</v>
      </c>
      <c r="V914" t="s">
        <v>66</v>
      </c>
      <c r="W914" t="s">
        <v>66</v>
      </c>
      <c r="X914" t="s">
        <v>66</v>
      </c>
      <c r="Y914" t="s">
        <v>66</v>
      </c>
      <c r="Z914" s="99" t="str">
        <f t="shared" ca="1" si="73"/>
        <v/>
      </c>
      <c r="AA914" s="101" t="str">
        <f t="shared" ca="1" si="74"/>
        <v/>
      </c>
    </row>
    <row r="915" spans="2:27" ht="27.6" customHeight="1">
      <c r="B915">
        <f t="shared" ca="1" si="70"/>
        <v>0</v>
      </c>
      <c r="C915" t="s">
        <v>36</v>
      </c>
      <c r="G915" s="75">
        <v>1</v>
      </c>
      <c r="J915" s="66" t="str">
        <f t="shared" ca="1" si="71"/>
        <v>14%</v>
      </c>
      <c r="K915" t="s">
        <v>59</v>
      </c>
      <c r="L915" s="66" t="str">
        <f t="shared" ca="1" si="72"/>
        <v>Sin costo</v>
      </c>
      <c r="M915" t="s">
        <v>64</v>
      </c>
      <c r="N915" t="s">
        <v>66</v>
      </c>
      <c r="O915" t="s">
        <v>66</v>
      </c>
      <c r="P915" t="s">
        <v>66</v>
      </c>
      <c r="R915" t="s">
        <v>66</v>
      </c>
      <c r="U915" t="s">
        <v>90</v>
      </c>
      <c r="V915" t="s">
        <v>66</v>
      </c>
      <c r="W915" t="s">
        <v>66</v>
      </c>
      <c r="X915" t="s">
        <v>66</v>
      </c>
      <c r="Y915" t="s">
        <v>66</v>
      </c>
      <c r="Z915" s="99" t="str">
        <f t="shared" ca="1" si="73"/>
        <v/>
      </c>
      <c r="AA915" s="101" t="str">
        <f t="shared" ca="1" si="74"/>
        <v/>
      </c>
    </row>
    <row r="916" spans="2:27" ht="27.6" customHeight="1">
      <c r="B916">
        <f t="shared" ca="1" si="70"/>
        <v>0</v>
      </c>
      <c r="C916" t="s">
        <v>36</v>
      </c>
      <c r="G916" s="75">
        <v>1</v>
      </c>
      <c r="J916" s="66" t="str">
        <f t="shared" ca="1" si="71"/>
        <v>14%</v>
      </c>
      <c r="K916" t="s">
        <v>59</v>
      </c>
      <c r="L916" s="66" t="str">
        <f t="shared" ca="1" si="72"/>
        <v>Sin costo</v>
      </c>
      <c r="M916" t="s">
        <v>64</v>
      </c>
      <c r="N916" t="s">
        <v>66</v>
      </c>
      <c r="O916" t="s">
        <v>66</v>
      </c>
      <c r="P916" t="s">
        <v>66</v>
      </c>
      <c r="R916" t="s">
        <v>66</v>
      </c>
      <c r="U916" t="s">
        <v>90</v>
      </c>
      <c r="V916" t="s">
        <v>66</v>
      </c>
      <c r="W916" t="s">
        <v>66</v>
      </c>
      <c r="X916" t="s">
        <v>66</v>
      </c>
      <c r="Y916" t="s">
        <v>66</v>
      </c>
      <c r="Z916" s="99" t="str">
        <f t="shared" ca="1" si="73"/>
        <v/>
      </c>
      <c r="AA916" s="101" t="str">
        <f t="shared" ca="1" si="74"/>
        <v/>
      </c>
    </row>
    <row r="917" spans="2:27" ht="27.6" customHeight="1">
      <c r="B917">
        <f t="shared" ca="1" si="70"/>
        <v>0</v>
      </c>
      <c r="C917" t="s">
        <v>36</v>
      </c>
      <c r="G917" s="75">
        <v>1</v>
      </c>
      <c r="J917" s="66" t="str">
        <f t="shared" ca="1" si="71"/>
        <v>14%</v>
      </c>
      <c r="K917" t="s">
        <v>59</v>
      </c>
      <c r="L917" s="66" t="str">
        <f t="shared" ca="1" si="72"/>
        <v>Sin costo</v>
      </c>
      <c r="M917" t="s">
        <v>64</v>
      </c>
      <c r="N917" t="s">
        <v>66</v>
      </c>
      <c r="O917" t="s">
        <v>66</v>
      </c>
      <c r="P917" t="s">
        <v>66</v>
      </c>
      <c r="R917" t="s">
        <v>66</v>
      </c>
      <c r="U917" t="s">
        <v>90</v>
      </c>
      <c r="V917" t="s">
        <v>66</v>
      </c>
      <c r="W917" t="s">
        <v>66</v>
      </c>
      <c r="X917" t="s">
        <v>66</v>
      </c>
      <c r="Y917" t="s">
        <v>66</v>
      </c>
      <c r="Z917" s="99" t="str">
        <f t="shared" ca="1" si="73"/>
        <v/>
      </c>
      <c r="AA917" s="101" t="str">
        <f t="shared" ca="1" si="74"/>
        <v/>
      </c>
    </row>
    <row r="918" spans="2:27" ht="27.6" customHeight="1">
      <c r="B918">
        <f t="shared" ca="1" si="70"/>
        <v>0</v>
      </c>
      <c r="C918" t="s">
        <v>36</v>
      </c>
      <c r="G918" s="75">
        <v>1</v>
      </c>
      <c r="J918" s="66" t="str">
        <f t="shared" ca="1" si="71"/>
        <v>14%</v>
      </c>
      <c r="K918" t="s">
        <v>59</v>
      </c>
      <c r="L918" s="66" t="str">
        <f t="shared" ca="1" si="72"/>
        <v>Sin costo</v>
      </c>
      <c r="M918" t="s">
        <v>64</v>
      </c>
      <c r="N918" t="s">
        <v>66</v>
      </c>
      <c r="O918" t="s">
        <v>66</v>
      </c>
      <c r="P918" t="s">
        <v>66</v>
      </c>
      <c r="R918" t="s">
        <v>66</v>
      </c>
      <c r="U918" t="s">
        <v>90</v>
      </c>
      <c r="V918" t="s">
        <v>66</v>
      </c>
      <c r="W918" t="s">
        <v>66</v>
      </c>
      <c r="X918" t="s">
        <v>66</v>
      </c>
      <c r="Y918" t="s">
        <v>66</v>
      </c>
      <c r="Z918" s="99" t="str">
        <f t="shared" ca="1" si="73"/>
        <v/>
      </c>
      <c r="AA918" s="101" t="str">
        <f t="shared" ca="1" si="74"/>
        <v/>
      </c>
    </row>
    <row r="919" spans="2:27" ht="27.6" customHeight="1">
      <c r="B919">
        <f t="shared" ca="1" si="70"/>
        <v>0</v>
      </c>
      <c r="C919" t="s">
        <v>36</v>
      </c>
      <c r="G919" s="75">
        <v>1</v>
      </c>
      <c r="J919" s="66" t="str">
        <f t="shared" ca="1" si="71"/>
        <v>14%</v>
      </c>
      <c r="K919" t="s">
        <v>59</v>
      </c>
      <c r="L919" s="66" t="str">
        <f t="shared" ca="1" si="72"/>
        <v>Sin costo</v>
      </c>
      <c r="M919" t="s">
        <v>64</v>
      </c>
      <c r="N919" t="s">
        <v>66</v>
      </c>
      <c r="O919" t="s">
        <v>66</v>
      </c>
      <c r="P919" t="s">
        <v>66</v>
      </c>
      <c r="R919" t="s">
        <v>66</v>
      </c>
      <c r="U919" t="s">
        <v>90</v>
      </c>
      <c r="V919" t="s">
        <v>66</v>
      </c>
      <c r="W919" t="s">
        <v>66</v>
      </c>
      <c r="X919" t="s">
        <v>66</v>
      </c>
      <c r="Y919" t="s">
        <v>66</v>
      </c>
      <c r="Z919" s="99" t="str">
        <f t="shared" ca="1" si="73"/>
        <v/>
      </c>
      <c r="AA919" s="101" t="str">
        <f t="shared" ca="1" si="74"/>
        <v/>
      </c>
    </row>
    <row r="920" spans="2:27" ht="27.6" customHeight="1">
      <c r="B920">
        <f t="shared" ca="1" si="70"/>
        <v>0</v>
      </c>
      <c r="C920" t="s">
        <v>36</v>
      </c>
      <c r="G920" s="75">
        <v>1</v>
      </c>
      <c r="J920" s="66" t="str">
        <f t="shared" ca="1" si="71"/>
        <v>14%</v>
      </c>
      <c r="K920" t="s">
        <v>59</v>
      </c>
      <c r="L920" s="66" t="str">
        <f t="shared" ca="1" si="72"/>
        <v>Sin costo</v>
      </c>
      <c r="M920" t="s">
        <v>64</v>
      </c>
      <c r="N920" t="s">
        <v>66</v>
      </c>
      <c r="O920" t="s">
        <v>66</v>
      </c>
      <c r="P920" t="s">
        <v>66</v>
      </c>
      <c r="R920" t="s">
        <v>66</v>
      </c>
      <c r="U920" t="s">
        <v>90</v>
      </c>
      <c r="V920" t="s">
        <v>66</v>
      </c>
      <c r="W920" t="s">
        <v>66</v>
      </c>
      <c r="X920" t="s">
        <v>66</v>
      </c>
      <c r="Y920" t="s">
        <v>66</v>
      </c>
      <c r="Z920" s="99" t="str">
        <f t="shared" ca="1" si="73"/>
        <v/>
      </c>
      <c r="AA920" s="101" t="str">
        <f t="shared" ca="1" si="74"/>
        <v/>
      </c>
    </row>
    <row r="921" spans="2:27" ht="27.6" customHeight="1">
      <c r="B921">
        <f t="shared" ca="1" si="70"/>
        <v>0</v>
      </c>
      <c r="C921" t="s">
        <v>36</v>
      </c>
      <c r="G921" s="75">
        <v>1</v>
      </c>
      <c r="J921" s="66" t="str">
        <f t="shared" ca="1" si="71"/>
        <v>14%</v>
      </c>
      <c r="K921" t="s">
        <v>59</v>
      </c>
      <c r="L921" s="66" t="str">
        <f t="shared" ca="1" si="72"/>
        <v>Sin costo</v>
      </c>
      <c r="M921" t="s">
        <v>64</v>
      </c>
      <c r="N921" t="s">
        <v>66</v>
      </c>
      <c r="O921" t="s">
        <v>66</v>
      </c>
      <c r="P921" t="s">
        <v>66</v>
      </c>
      <c r="R921" t="s">
        <v>66</v>
      </c>
      <c r="U921" t="s">
        <v>90</v>
      </c>
      <c r="V921" t="s">
        <v>66</v>
      </c>
      <c r="W921" t="s">
        <v>66</v>
      </c>
      <c r="X921" t="s">
        <v>66</v>
      </c>
      <c r="Y921" t="s">
        <v>66</v>
      </c>
      <c r="Z921" s="99" t="str">
        <f t="shared" ca="1" si="73"/>
        <v/>
      </c>
      <c r="AA921" s="101" t="str">
        <f t="shared" ca="1" si="74"/>
        <v/>
      </c>
    </row>
    <row r="922" spans="2:27" ht="27.6" customHeight="1">
      <c r="B922">
        <f t="shared" ca="1" si="70"/>
        <v>0</v>
      </c>
      <c r="C922" t="s">
        <v>36</v>
      </c>
      <c r="G922" s="75">
        <v>1</v>
      </c>
      <c r="J922" s="66" t="str">
        <f t="shared" ca="1" si="71"/>
        <v>14%</v>
      </c>
      <c r="K922" t="s">
        <v>59</v>
      </c>
      <c r="L922" s="66" t="str">
        <f t="shared" ca="1" si="72"/>
        <v>Sin costo</v>
      </c>
      <c r="M922" t="s">
        <v>64</v>
      </c>
      <c r="N922" t="s">
        <v>66</v>
      </c>
      <c r="O922" t="s">
        <v>66</v>
      </c>
      <c r="P922" t="s">
        <v>66</v>
      </c>
      <c r="R922" t="s">
        <v>66</v>
      </c>
      <c r="U922" t="s">
        <v>90</v>
      </c>
      <c r="V922" t="s">
        <v>66</v>
      </c>
      <c r="W922" t="s">
        <v>66</v>
      </c>
      <c r="X922" t="s">
        <v>66</v>
      </c>
      <c r="Y922" t="s">
        <v>66</v>
      </c>
      <c r="Z922" s="99" t="str">
        <f t="shared" ca="1" si="73"/>
        <v/>
      </c>
      <c r="AA922" s="101" t="str">
        <f t="shared" ca="1" si="74"/>
        <v/>
      </c>
    </row>
    <row r="923" spans="2:27" ht="27.6" customHeight="1">
      <c r="B923">
        <f t="shared" ca="1" si="70"/>
        <v>0</v>
      </c>
      <c r="C923" t="s">
        <v>36</v>
      </c>
      <c r="G923" s="75">
        <v>1</v>
      </c>
      <c r="J923" s="66" t="str">
        <f t="shared" ca="1" si="71"/>
        <v>14%</v>
      </c>
      <c r="K923" t="s">
        <v>59</v>
      </c>
      <c r="L923" s="66" t="str">
        <f t="shared" ca="1" si="72"/>
        <v>Sin costo</v>
      </c>
      <c r="M923" t="s">
        <v>64</v>
      </c>
      <c r="N923" t="s">
        <v>66</v>
      </c>
      <c r="O923" t="s">
        <v>66</v>
      </c>
      <c r="P923" t="s">
        <v>66</v>
      </c>
      <c r="R923" t="s">
        <v>66</v>
      </c>
      <c r="U923" t="s">
        <v>90</v>
      </c>
      <c r="V923" t="s">
        <v>66</v>
      </c>
      <c r="W923" t="s">
        <v>66</v>
      </c>
      <c r="X923" t="s">
        <v>66</v>
      </c>
      <c r="Y923" t="s">
        <v>66</v>
      </c>
      <c r="Z923" s="99" t="str">
        <f t="shared" ca="1" si="73"/>
        <v/>
      </c>
      <c r="AA923" s="101" t="str">
        <f t="shared" ca="1" si="74"/>
        <v/>
      </c>
    </row>
    <row r="924" spans="2:27" ht="27.6" customHeight="1">
      <c r="B924">
        <f t="shared" ca="1" si="70"/>
        <v>0</v>
      </c>
      <c r="C924" t="s">
        <v>36</v>
      </c>
      <c r="G924" s="75">
        <v>1</v>
      </c>
      <c r="J924" s="66" t="str">
        <f t="shared" ca="1" si="71"/>
        <v>14%</v>
      </c>
      <c r="K924" t="s">
        <v>59</v>
      </c>
      <c r="L924" s="66" t="str">
        <f t="shared" ca="1" si="72"/>
        <v>Sin costo</v>
      </c>
      <c r="M924" t="s">
        <v>64</v>
      </c>
      <c r="N924" t="s">
        <v>66</v>
      </c>
      <c r="O924" t="s">
        <v>66</v>
      </c>
      <c r="P924" t="s">
        <v>66</v>
      </c>
      <c r="R924" t="s">
        <v>66</v>
      </c>
      <c r="U924" t="s">
        <v>90</v>
      </c>
      <c r="V924" t="s">
        <v>66</v>
      </c>
      <c r="W924" t="s">
        <v>66</v>
      </c>
      <c r="X924" t="s">
        <v>66</v>
      </c>
      <c r="Y924" t="s">
        <v>66</v>
      </c>
      <c r="Z924" s="99" t="str">
        <f t="shared" ca="1" si="73"/>
        <v/>
      </c>
      <c r="AA924" s="101" t="str">
        <f t="shared" ca="1" si="74"/>
        <v/>
      </c>
    </row>
    <row r="925" spans="2:27" ht="27.6" customHeight="1">
      <c r="B925">
        <f t="shared" ca="1" si="70"/>
        <v>0</v>
      </c>
      <c r="C925" t="s">
        <v>36</v>
      </c>
      <c r="G925" s="75">
        <v>1</v>
      </c>
      <c r="J925" s="66" t="str">
        <f t="shared" ca="1" si="71"/>
        <v>14%</v>
      </c>
      <c r="K925" t="s">
        <v>59</v>
      </c>
      <c r="L925" s="66" t="str">
        <f t="shared" ca="1" si="72"/>
        <v>Sin costo</v>
      </c>
      <c r="M925" t="s">
        <v>64</v>
      </c>
      <c r="N925" t="s">
        <v>66</v>
      </c>
      <c r="O925" t="s">
        <v>66</v>
      </c>
      <c r="P925" t="s">
        <v>66</v>
      </c>
      <c r="R925" t="s">
        <v>66</v>
      </c>
      <c r="U925" t="s">
        <v>90</v>
      </c>
      <c r="V925" t="s">
        <v>66</v>
      </c>
      <c r="W925" t="s">
        <v>66</v>
      </c>
      <c r="X925" t="s">
        <v>66</v>
      </c>
      <c r="Y925" t="s">
        <v>66</v>
      </c>
      <c r="Z925" s="99" t="str">
        <f t="shared" ca="1" si="73"/>
        <v/>
      </c>
      <c r="AA925" s="101" t="str">
        <f t="shared" ca="1" si="74"/>
        <v/>
      </c>
    </row>
    <row r="926" spans="2:27" ht="27.6" customHeight="1">
      <c r="B926">
        <f t="shared" ca="1" si="70"/>
        <v>0</v>
      </c>
      <c r="C926" t="s">
        <v>36</v>
      </c>
      <c r="G926" s="75">
        <v>1</v>
      </c>
      <c r="J926" s="66" t="str">
        <f t="shared" ca="1" si="71"/>
        <v>14%</v>
      </c>
      <c r="K926" t="s">
        <v>59</v>
      </c>
      <c r="L926" s="66" t="str">
        <f t="shared" ca="1" si="72"/>
        <v>Sin costo</v>
      </c>
      <c r="M926" t="s">
        <v>64</v>
      </c>
      <c r="N926" t="s">
        <v>66</v>
      </c>
      <c r="O926" t="s">
        <v>66</v>
      </c>
      <c r="P926" t="s">
        <v>66</v>
      </c>
      <c r="R926" t="s">
        <v>66</v>
      </c>
      <c r="U926" t="s">
        <v>90</v>
      </c>
      <c r="V926" t="s">
        <v>66</v>
      </c>
      <c r="W926" t="s">
        <v>66</v>
      </c>
      <c r="X926" t="s">
        <v>66</v>
      </c>
      <c r="Y926" t="s">
        <v>66</v>
      </c>
      <c r="Z926" s="99" t="str">
        <f t="shared" ca="1" si="73"/>
        <v/>
      </c>
      <c r="AA926" s="101" t="str">
        <f t="shared" ca="1" si="74"/>
        <v/>
      </c>
    </row>
    <row r="927" spans="2:27" ht="27.6" customHeight="1">
      <c r="B927">
        <f t="shared" ca="1" si="70"/>
        <v>0</v>
      </c>
      <c r="C927" t="s">
        <v>36</v>
      </c>
      <c r="G927" s="75">
        <v>1</v>
      </c>
      <c r="J927" s="66" t="str">
        <f t="shared" ca="1" si="71"/>
        <v>14%</v>
      </c>
      <c r="K927" t="s">
        <v>59</v>
      </c>
      <c r="L927" s="66" t="str">
        <f t="shared" ca="1" si="72"/>
        <v>Sin costo</v>
      </c>
      <c r="M927" t="s">
        <v>64</v>
      </c>
      <c r="N927" t="s">
        <v>66</v>
      </c>
      <c r="O927" t="s">
        <v>66</v>
      </c>
      <c r="P927" t="s">
        <v>66</v>
      </c>
      <c r="R927" t="s">
        <v>66</v>
      </c>
      <c r="U927" t="s">
        <v>90</v>
      </c>
      <c r="V927" t="s">
        <v>66</v>
      </c>
      <c r="W927" t="s">
        <v>66</v>
      </c>
      <c r="X927" t="s">
        <v>66</v>
      </c>
      <c r="Y927" t="s">
        <v>66</v>
      </c>
      <c r="Z927" s="99" t="str">
        <f t="shared" ca="1" si="73"/>
        <v/>
      </c>
      <c r="AA927" s="101" t="str">
        <f t="shared" ca="1" si="74"/>
        <v/>
      </c>
    </row>
    <row r="928" spans="2:27" ht="27.6" customHeight="1">
      <c r="B928">
        <f t="shared" ca="1" si="70"/>
        <v>0</v>
      </c>
      <c r="C928" t="s">
        <v>36</v>
      </c>
      <c r="G928" s="75">
        <v>1</v>
      </c>
      <c r="J928" s="66" t="str">
        <f t="shared" ca="1" si="71"/>
        <v>14%</v>
      </c>
      <c r="K928" t="s">
        <v>59</v>
      </c>
      <c r="L928" s="66" t="str">
        <f t="shared" ca="1" si="72"/>
        <v>Sin costo</v>
      </c>
      <c r="M928" t="s">
        <v>64</v>
      </c>
      <c r="N928" t="s">
        <v>66</v>
      </c>
      <c r="O928" t="s">
        <v>66</v>
      </c>
      <c r="P928" t="s">
        <v>66</v>
      </c>
      <c r="R928" t="s">
        <v>66</v>
      </c>
      <c r="U928" t="s">
        <v>90</v>
      </c>
      <c r="V928" t="s">
        <v>66</v>
      </c>
      <c r="W928" t="s">
        <v>66</v>
      </c>
      <c r="X928" t="s">
        <v>66</v>
      </c>
      <c r="Y928" t="s">
        <v>66</v>
      </c>
      <c r="Z928" s="99" t="str">
        <f t="shared" ca="1" si="73"/>
        <v/>
      </c>
      <c r="AA928" s="101" t="str">
        <f t="shared" ca="1" si="74"/>
        <v/>
      </c>
    </row>
    <row r="929" spans="2:27" ht="27.6" customHeight="1">
      <c r="B929">
        <f t="shared" ca="1" si="70"/>
        <v>0</v>
      </c>
      <c r="C929" t="s">
        <v>36</v>
      </c>
      <c r="G929" s="75">
        <v>1</v>
      </c>
      <c r="J929" s="66" t="str">
        <f t="shared" ca="1" si="71"/>
        <v>14%</v>
      </c>
      <c r="K929" t="s">
        <v>59</v>
      </c>
      <c r="L929" s="66" t="str">
        <f t="shared" ca="1" si="72"/>
        <v>Sin costo</v>
      </c>
      <c r="M929" t="s">
        <v>64</v>
      </c>
      <c r="N929" t="s">
        <v>66</v>
      </c>
      <c r="O929" t="s">
        <v>66</v>
      </c>
      <c r="P929" t="s">
        <v>66</v>
      </c>
      <c r="R929" t="s">
        <v>66</v>
      </c>
      <c r="U929" t="s">
        <v>90</v>
      </c>
      <c r="V929" t="s">
        <v>66</v>
      </c>
      <c r="W929" t="s">
        <v>66</v>
      </c>
      <c r="X929" t="s">
        <v>66</v>
      </c>
      <c r="Y929" t="s">
        <v>66</v>
      </c>
      <c r="Z929" s="99" t="str">
        <f t="shared" ca="1" si="73"/>
        <v/>
      </c>
      <c r="AA929" s="101" t="str">
        <f t="shared" ca="1" si="74"/>
        <v/>
      </c>
    </row>
    <row r="930" spans="2:27" ht="27.6" customHeight="1">
      <c r="B930">
        <f t="shared" ca="1" si="70"/>
        <v>0</v>
      </c>
      <c r="C930" t="s">
        <v>36</v>
      </c>
      <c r="G930" s="75">
        <v>1</v>
      </c>
      <c r="J930" s="66" t="str">
        <f t="shared" ca="1" si="71"/>
        <v>14%</v>
      </c>
      <c r="K930" t="s">
        <v>59</v>
      </c>
      <c r="L930" s="66" t="str">
        <f t="shared" ca="1" si="72"/>
        <v>Sin costo</v>
      </c>
      <c r="M930" t="s">
        <v>64</v>
      </c>
      <c r="N930" t="s">
        <v>66</v>
      </c>
      <c r="O930" t="s">
        <v>66</v>
      </c>
      <c r="P930" t="s">
        <v>66</v>
      </c>
      <c r="R930" t="s">
        <v>66</v>
      </c>
      <c r="U930" t="s">
        <v>90</v>
      </c>
      <c r="V930" t="s">
        <v>66</v>
      </c>
      <c r="W930" t="s">
        <v>66</v>
      </c>
      <c r="X930" t="s">
        <v>66</v>
      </c>
      <c r="Y930" t="s">
        <v>66</v>
      </c>
      <c r="Z930" s="99" t="str">
        <f t="shared" ca="1" si="73"/>
        <v/>
      </c>
      <c r="AA930" s="101" t="str">
        <f t="shared" ca="1" si="74"/>
        <v/>
      </c>
    </row>
    <row r="931" spans="2:27" ht="27.6" customHeight="1">
      <c r="B931">
        <f t="shared" ca="1" si="70"/>
        <v>0</v>
      </c>
      <c r="C931" t="s">
        <v>36</v>
      </c>
      <c r="G931" s="75">
        <v>1</v>
      </c>
      <c r="J931" s="66" t="str">
        <f t="shared" ca="1" si="71"/>
        <v>14%</v>
      </c>
      <c r="K931" t="s">
        <v>59</v>
      </c>
      <c r="L931" s="66" t="str">
        <f t="shared" ca="1" si="72"/>
        <v>Sin costo</v>
      </c>
      <c r="M931" t="s">
        <v>64</v>
      </c>
      <c r="N931" t="s">
        <v>66</v>
      </c>
      <c r="O931" t="s">
        <v>66</v>
      </c>
      <c r="P931" t="s">
        <v>66</v>
      </c>
      <c r="R931" t="s">
        <v>66</v>
      </c>
      <c r="U931" t="s">
        <v>90</v>
      </c>
      <c r="V931" t="s">
        <v>66</v>
      </c>
      <c r="W931" t="s">
        <v>66</v>
      </c>
      <c r="X931" t="s">
        <v>66</v>
      </c>
      <c r="Y931" t="s">
        <v>66</v>
      </c>
      <c r="Z931" s="99" t="str">
        <f t="shared" ca="1" si="73"/>
        <v/>
      </c>
      <c r="AA931" s="101" t="str">
        <f t="shared" ca="1" si="74"/>
        <v/>
      </c>
    </row>
    <row r="932" spans="2:27" ht="27.6" customHeight="1">
      <c r="B932">
        <f t="shared" ca="1" si="70"/>
        <v>0</v>
      </c>
      <c r="C932" t="s">
        <v>36</v>
      </c>
      <c r="G932" s="75">
        <v>1</v>
      </c>
      <c r="J932" s="66" t="str">
        <f t="shared" ca="1" si="71"/>
        <v>14%</v>
      </c>
      <c r="K932" t="s">
        <v>59</v>
      </c>
      <c r="L932" s="66" t="str">
        <f t="shared" ca="1" si="72"/>
        <v>Sin costo</v>
      </c>
      <c r="M932" t="s">
        <v>64</v>
      </c>
      <c r="N932" t="s">
        <v>66</v>
      </c>
      <c r="O932" t="s">
        <v>66</v>
      </c>
      <c r="P932" t="s">
        <v>66</v>
      </c>
      <c r="R932" t="s">
        <v>66</v>
      </c>
      <c r="U932" t="s">
        <v>90</v>
      </c>
      <c r="V932" t="s">
        <v>66</v>
      </c>
      <c r="W932" t="s">
        <v>66</v>
      </c>
      <c r="X932" t="s">
        <v>66</v>
      </c>
      <c r="Y932" t="s">
        <v>66</v>
      </c>
      <c r="Z932" s="99" t="str">
        <f t="shared" ca="1" si="73"/>
        <v/>
      </c>
      <c r="AA932" s="101" t="str">
        <f t="shared" ca="1" si="74"/>
        <v/>
      </c>
    </row>
    <row r="933" spans="2:27" ht="27.6" customHeight="1">
      <c r="B933">
        <f t="shared" ca="1" si="70"/>
        <v>0</v>
      </c>
      <c r="C933" t="s">
        <v>36</v>
      </c>
      <c r="G933" s="75">
        <v>1</v>
      </c>
      <c r="J933" s="66" t="str">
        <f t="shared" ca="1" si="71"/>
        <v>14%</v>
      </c>
      <c r="K933" t="s">
        <v>59</v>
      </c>
      <c r="L933" s="66" t="str">
        <f t="shared" ca="1" si="72"/>
        <v>Sin costo</v>
      </c>
      <c r="M933" t="s">
        <v>64</v>
      </c>
      <c r="N933" t="s">
        <v>66</v>
      </c>
      <c r="O933" t="s">
        <v>66</v>
      </c>
      <c r="P933" t="s">
        <v>66</v>
      </c>
      <c r="R933" t="s">
        <v>66</v>
      </c>
      <c r="U933" t="s">
        <v>90</v>
      </c>
      <c r="V933" t="s">
        <v>66</v>
      </c>
      <c r="W933" t="s">
        <v>66</v>
      </c>
      <c r="X933" t="s">
        <v>66</v>
      </c>
      <c r="Y933" t="s">
        <v>66</v>
      </c>
      <c r="Z933" s="99" t="str">
        <f t="shared" ca="1" si="73"/>
        <v/>
      </c>
      <c r="AA933" s="101" t="str">
        <f t="shared" ca="1" si="74"/>
        <v/>
      </c>
    </row>
    <row r="934" spans="2:27" ht="27.6" customHeight="1">
      <c r="B934">
        <f t="shared" ca="1" si="70"/>
        <v>0</v>
      </c>
      <c r="C934" t="s">
        <v>36</v>
      </c>
      <c r="G934" s="75">
        <v>1</v>
      </c>
      <c r="J934" s="66" t="str">
        <f t="shared" ca="1" si="71"/>
        <v>14%</v>
      </c>
      <c r="K934" t="s">
        <v>59</v>
      </c>
      <c r="L934" s="66" t="str">
        <f t="shared" ca="1" si="72"/>
        <v>Sin costo</v>
      </c>
      <c r="M934" t="s">
        <v>64</v>
      </c>
      <c r="N934" t="s">
        <v>66</v>
      </c>
      <c r="O934" t="s">
        <v>66</v>
      </c>
      <c r="P934" t="s">
        <v>66</v>
      </c>
      <c r="R934" t="s">
        <v>66</v>
      </c>
      <c r="U934" t="s">
        <v>90</v>
      </c>
      <c r="V934" t="s">
        <v>66</v>
      </c>
      <c r="W934" t="s">
        <v>66</v>
      </c>
      <c r="X934" t="s">
        <v>66</v>
      </c>
      <c r="Y934" t="s">
        <v>66</v>
      </c>
      <c r="Z934" s="99" t="str">
        <f t="shared" ca="1" si="73"/>
        <v/>
      </c>
      <c r="AA934" s="101" t="str">
        <f t="shared" ca="1" si="74"/>
        <v/>
      </c>
    </row>
    <row r="935" spans="2:27" ht="27.6" customHeight="1">
      <c r="B935">
        <f t="shared" ca="1" si="70"/>
        <v>0</v>
      </c>
      <c r="C935" t="s">
        <v>36</v>
      </c>
      <c r="G935" s="75">
        <v>1</v>
      </c>
      <c r="J935" s="66" t="str">
        <f t="shared" ca="1" si="71"/>
        <v>14%</v>
      </c>
      <c r="K935" t="s">
        <v>59</v>
      </c>
      <c r="L935" s="66" t="str">
        <f t="shared" ca="1" si="72"/>
        <v>Sin costo</v>
      </c>
      <c r="M935" t="s">
        <v>64</v>
      </c>
      <c r="N935" t="s">
        <v>66</v>
      </c>
      <c r="O935" t="s">
        <v>66</v>
      </c>
      <c r="P935" t="s">
        <v>66</v>
      </c>
      <c r="R935" t="s">
        <v>66</v>
      </c>
      <c r="U935" t="s">
        <v>90</v>
      </c>
      <c r="V935" t="s">
        <v>66</v>
      </c>
      <c r="W935" t="s">
        <v>66</v>
      </c>
      <c r="X935" t="s">
        <v>66</v>
      </c>
      <c r="Y935" t="s">
        <v>66</v>
      </c>
      <c r="Z935" s="99" t="str">
        <f t="shared" ca="1" si="73"/>
        <v/>
      </c>
      <c r="AA935" s="101" t="str">
        <f t="shared" ca="1" si="74"/>
        <v/>
      </c>
    </row>
    <row r="936" spans="2:27" ht="27.6" customHeight="1">
      <c r="B936">
        <f t="shared" ca="1" si="70"/>
        <v>0</v>
      </c>
      <c r="C936" t="s">
        <v>36</v>
      </c>
      <c r="G936" s="75">
        <v>1</v>
      </c>
      <c r="J936" s="66" t="str">
        <f t="shared" ca="1" si="71"/>
        <v>14%</v>
      </c>
      <c r="K936" t="s">
        <v>59</v>
      </c>
      <c r="L936" s="66" t="str">
        <f t="shared" ca="1" si="72"/>
        <v>Sin costo</v>
      </c>
      <c r="M936" t="s">
        <v>64</v>
      </c>
      <c r="N936" t="s">
        <v>66</v>
      </c>
      <c r="O936" t="s">
        <v>66</v>
      </c>
      <c r="P936" t="s">
        <v>66</v>
      </c>
      <c r="R936" t="s">
        <v>66</v>
      </c>
      <c r="U936" t="s">
        <v>90</v>
      </c>
      <c r="V936" t="s">
        <v>66</v>
      </c>
      <c r="W936" t="s">
        <v>66</v>
      </c>
      <c r="X936" t="s">
        <v>66</v>
      </c>
      <c r="Y936" t="s">
        <v>66</v>
      </c>
      <c r="Z936" s="99" t="str">
        <f t="shared" ca="1" si="73"/>
        <v/>
      </c>
      <c r="AA936" s="101" t="str">
        <f t="shared" ca="1" si="74"/>
        <v/>
      </c>
    </row>
    <row r="937" spans="2:27" ht="27.6" customHeight="1">
      <c r="B937">
        <f t="shared" ca="1" si="70"/>
        <v>0</v>
      </c>
      <c r="C937" t="s">
        <v>36</v>
      </c>
      <c r="G937" s="75">
        <v>1</v>
      </c>
      <c r="J937" s="66" t="str">
        <f t="shared" ca="1" si="71"/>
        <v>14%</v>
      </c>
      <c r="K937" t="s">
        <v>59</v>
      </c>
      <c r="L937" s="66" t="str">
        <f t="shared" ca="1" si="72"/>
        <v>Sin costo</v>
      </c>
      <c r="M937" t="s">
        <v>64</v>
      </c>
      <c r="N937" t="s">
        <v>66</v>
      </c>
      <c r="O937" t="s">
        <v>66</v>
      </c>
      <c r="P937" t="s">
        <v>66</v>
      </c>
      <c r="R937" t="s">
        <v>66</v>
      </c>
      <c r="U937" t="s">
        <v>90</v>
      </c>
      <c r="V937" t="s">
        <v>66</v>
      </c>
      <c r="W937" t="s">
        <v>66</v>
      </c>
      <c r="X937" t="s">
        <v>66</v>
      </c>
      <c r="Y937" t="s">
        <v>66</v>
      </c>
      <c r="Z937" s="99" t="str">
        <f t="shared" ca="1" si="73"/>
        <v/>
      </c>
      <c r="AA937" s="101" t="str">
        <f t="shared" ca="1" si="74"/>
        <v/>
      </c>
    </row>
    <row r="938" spans="2:27" ht="27.6" customHeight="1">
      <c r="B938">
        <f t="shared" ca="1" si="70"/>
        <v>0</v>
      </c>
      <c r="C938" t="s">
        <v>36</v>
      </c>
      <c r="G938" s="75">
        <v>1</v>
      </c>
      <c r="J938" s="66" t="str">
        <f t="shared" ca="1" si="71"/>
        <v>14%</v>
      </c>
      <c r="K938" t="s">
        <v>59</v>
      </c>
      <c r="L938" s="66" t="str">
        <f t="shared" ca="1" si="72"/>
        <v>Sin costo</v>
      </c>
      <c r="M938" t="s">
        <v>64</v>
      </c>
      <c r="N938" t="s">
        <v>66</v>
      </c>
      <c r="O938" t="s">
        <v>66</v>
      </c>
      <c r="P938" t="s">
        <v>66</v>
      </c>
      <c r="R938" t="s">
        <v>66</v>
      </c>
      <c r="U938" t="s">
        <v>90</v>
      </c>
      <c r="V938" t="s">
        <v>66</v>
      </c>
      <c r="W938" t="s">
        <v>66</v>
      </c>
      <c r="X938" t="s">
        <v>66</v>
      </c>
      <c r="Y938" t="s">
        <v>66</v>
      </c>
      <c r="Z938" s="99" t="str">
        <f t="shared" ca="1" si="73"/>
        <v/>
      </c>
      <c r="AA938" s="101" t="str">
        <f t="shared" ca="1" si="74"/>
        <v/>
      </c>
    </row>
    <row r="939" spans="2:27" ht="27.6" customHeight="1">
      <c r="B939">
        <f t="shared" ca="1" si="70"/>
        <v>0</v>
      </c>
      <c r="C939" t="s">
        <v>36</v>
      </c>
      <c r="G939" s="75">
        <v>1</v>
      </c>
      <c r="J939" s="66" t="str">
        <f t="shared" ca="1" si="71"/>
        <v>14%</v>
      </c>
      <c r="K939" t="s">
        <v>59</v>
      </c>
      <c r="L939" s="66" t="str">
        <f t="shared" ca="1" si="72"/>
        <v>Sin costo</v>
      </c>
      <c r="M939" t="s">
        <v>64</v>
      </c>
      <c r="N939" t="s">
        <v>66</v>
      </c>
      <c r="O939" t="s">
        <v>66</v>
      </c>
      <c r="P939" t="s">
        <v>66</v>
      </c>
      <c r="R939" t="s">
        <v>66</v>
      </c>
      <c r="U939" t="s">
        <v>90</v>
      </c>
      <c r="V939" t="s">
        <v>66</v>
      </c>
      <c r="W939" t="s">
        <v>66</v>
      </c>
      <c r="X939" t="s">
        <v>66</v>
      </c>
      <c r="Y939" t="s">
        <v>66</v>
      </c>
      <c r="Z939" s="99" t="str">
        <f t="shared" ca="1" si="73"/>
        <v/>
      </c>
      <c r="AA939" s="101" t="str">
        <f t="shared" ca="1" si="74"/>
        <v/>
      </c>
    </row>
    <row r="940" spans="2:27" ht="27.6" customHeight="1">
      <c r="B940">
        <f t="shared" ca="1" si="70"/>
        <v>0</v>
      </c>
      <c r="C940" t="s">
        <v>36</v>
      </c>
      <c r="G940" s="75">
        <v>1</v>
      </c>
      <c r="J940" s="66" t="str">
        <f t="shared" ca="1" si="71"/>
        <v>14%</v>
      </c>
      <c r="K940" t="s">
        <v>59</v>
      </c>
      <c r="L940" s="66" t="str">
        <f t="shared" ca="1" si="72"/>
        <v>Sin costo</v>
      </c>
      <c r="M940" t="s">
        <v>64</v>
      </c>
      <c r="N940" t="s">
        <v>66</v>
      </c>
      <c r="O940" t="s">
        <v>66</v>
      </c>
      <c r="P940" t="s">
        <v>66</v>
      </c>
      <c r="R940" t="s">
        <v>66</v>
      </c>
      <c r="U940" t="s">
        <v>90</v>
      </c>
      <c r="V940" t="s">
        <v>66</v>
      </c>
      <c r="W940" t="s">
        <v>66</v>
      </c>
      <c r="X940" t="s">
        <v>66</v>
      </c>
      <c r="Y940" t="s">
        <v>66</v>
      </c>
      <c r="Z940" s="99" t="str">
        <f t="shared" ca="1" si="73"/>
        <v/>
      </c>
      <c r="AA940" s="101" t="str">
        <f t="shared" ca="1" si="74"/>
        <v/>
      </c>
    </row>
    <row r="941" spans="2:27" ht="27.6" customHeight="1">
      <c r="B941">
        <f t="shared" ca="1" si="70"/>
        <v>0</v>
      </c>
      <c r="C941" t="s">
        <v>36</v>
      </c>
      <c r="G941" s="75">
        <v>1</v>
      </c>
      <c r="J941" s="66" t="str">
        <f t="shared" ca="1" si="71"/>
        <v>14%</v>
      </c>
      <c r="K941" t="s">
        <v>59</v>
      </c>
      <c r="L941" s="66" t="str">
        <f t="shared" ca="1" si="72"/>
        <v>Sin costo</v>
      </c>
      <c r="M941" t="s">
        <v>64</v>
      </c>
      <c r="N941" t="s">
        <v>66</v>
      </c>
      <c r="O941" t="s">
        <v>66</v>
      </c>
      <c r="P941" t="s">
        <v>66</v>
      </c>
      <c r="R941" t="s">
        <v>66</v>
      </c>
      <c r="U941" t="s">
        <v>90</v>
      </c>
      <c r="V941" t="s">
        <v>66</v>
      </c>
      <c r="W941" t="s">
        <v>66</v>
      </c>
      <c r="X941" t="s">
        <v>66</v>
      </c>
      <c r="Y941" t="s">
        <v>66</v>
      </c>
      <c r="Z941" s="99" t="str">
        <f t="shared" ca="1" si="73"/>
        <v/>
      </c>
      <c r="AA941" s="101" t="str">
        <f t="shared" ca="1" si="74"/>
        <v/>
      </c>
    </row>
    <row r="942" spans="2:27" ht="27.6" customHeight="1">
      <c r="B942">
        <f t="shared" ca="1" si="70"/>
        <v>0</v>
      </c>
      <c r="C942" t="s">
        <v>36</v>
      </c>
      <c r="G942" s="75">
        <v>1</v>
      </c>
      <c r="J942" s="66" t="str">
        <f t="shared" ca="1" si="71"/>
        <v>14%</v>
      </c>
      <c r="K942" t="s">
        <v>59</v>
      </c>
      <c r="L942" s="66" t="str">
        <f t="shared" ca="1" si="72"/>
        <v>Sin costo</v>
      </c>
      <c r="M942" t="s">
        <v>64</v>
      </c>
      <c r="N942" t="s">
        <v>66</v>
      </c>
      <c r="O942" t="s">
        <v>66</v>
      </c>
      <c r="P942" t="s">
        <v>66</v>
      </c>
      <c r="R942" t="s">
        <v>66</v>
      </c>
      <c r="U942" t="s">
        <v>90</v>
      </c>
      <c r="V942" t="s">
        <v>66</v>
      </c>
      <c r="W942" t="s">
        <v>66</v>
      </c>
      <c r="X942" t="s">
        <v>66</v>
      </c>
      <c r="Y942" t="s">
        <v>66</v>
      </c>
      <c r="Z942" s="99" t="str">
        <f t="shared" ca="1" si="73"/>
        <v/>
      </c>
      <c r="AA942" s="101" t="str">
        <f t="shared" ca="1" si="74"/>
        <v/>
      </c>
    </row>
    <row r="943" spans="2:27" ht="27.6" customHeight="1">
      <c r="B943">
        <f t="shared" ca="1" si="70"/>
        <v>0</v>
      </c>
      <c r="C943" t="s">
        <v>36</v>
      </c>
      <c r="G943" s="75">
        <v>1</v>
      </c>
      <c r="J943" s="66" t="str">
        <f t="shared" ca="1" si="71"/>
        <v>14%</v>
      </c>
      <c r="K943" t="s">
        <v>59</v>
      </c>
      <c r="L943" s="66" t="str">
        <f t="shared" ca="1" si="72"/>
        <v>Sin costo</v>
      </c>
      <c r="M943" t="s">
        <v>64</v>
      </c>
      <c r="N943" t="s">
        <v>66</v>
      </c>
      <c r="O943" t="s">
        <v>66</v>
      </c>
      <c r="P943" t="s">
        <v>66</v>
      </c>
      <c r="R943" t="s">
        <v>66</v>
      </c>
      <c r="U943" t="s">
        <v>90</v>
      </c>
      <c r="V943" t="s">
        <v>66</v>
      </c>
      <c r="W943" t="s">
        <v>66</v>
      </c>
      <c r="X943" t="s">
        <v>66</v>
      </c>
      <c r="Y943" t="s">
        <v>66</v>
      </c>
      <c r="Z943" s="99" t="str">
        <f t="shared" ca="1" si="73"/>
        <v/>
      </c>
      <c r="AA943" s="101" t="str">
        <f t="shared" ca="1" si="74"/>
        <v/>
      </c>
    </row>
    <row r="944" spans="2:27" ht="27.6" customHeight="1">
      <c r="B944">
        <f t="shared" ca="1" si="70"/>
        <v>0</v>
      </c>
      <c r="C944" t="s">
        <v>36</v>
      </c>
      <c r="G944" s="75">
        <v>1</v>
      </c>
      <c r="J944" s="66" t="str">
        <f t="shared" ca="1" si="71"/>
        <v>14%</v>
      </c>
      <c r="K944" t="s">
        <v>59</v>
      </c>
      <c r="L944" s="66" t="str">
        <f t="shared" ca="1" si="72"/>
        <v>Sin costo</v>
      </c>
      <c r="M944" t="s">
        <v>64</v>
      </c>
      <c r="N944" t="s">
        <v>66</v>
      </c>
      <c r="O944" t="s">
        <v>66</v>
      </c>
      <c r="P944" t="s">
        <v>66</v>
      </c>
      <c r="R944" t="s">
        <v>66</v>
      </c>
      <c r="U944" t="s">
        <v>90</v>
      </c>
      <c r="V944" t="s">
        <v>66</v>
      </c>
      <c r="W944" t="s">
        <v>66</v>
      </c>
      <c r="X944" t="s">
        <v>66</v>
      </c>
      <c r="Y944" t="s">
        <v>66</v>
      </c>
      <c r="Z944" s="99" t="str">
        <f t="shared" ca="1" si="73"/>
        <v/>
      </c>
      <c r="AA944" s="101" t="str">
        <f t="shared" ca="1" si="74"/>
        <v/>
      </c>
    </row>
    <row r="945" spans="2:27" ht="27.6" customHeight="1">
      <c r="B945">
        <f t="shared" ca="1" si="70"/>
        <v>0</v>
      </c>
      <c r="C945" t="s">
        <v>36</v>
      </c>
      <c r="G945" s="75">
        <v>1</v>
      </c>
      <c r="J945" s="66" t="str">
        <f t="shared" ca="1" si="71"/>
        <v>14%</v>
      </c>
      <c r="K945" t="s">
        <v>59</v>
      </c>
      <c r="L945" s="66" t="str">
        <f t="shared" ca="1" si="72"/>
        <v>Sin costo</v>
      </c>
      <c r="M945" t="s">
        <v>64</v>
      </c>
      <c r="N945" t="s">
        <v>66</v>
      </c>
      <c r="O945" t="s">
        <v>66</v>
      </c>
      <c r="P945" t="s">
        <v>66</v>
      </c>
      <c r="R945" t="s">
        <v>66</v>
      </c>
      <c r="U945" t="s">
        <v>90</v>
      </c>
      <c r="V945" t="s">
        <v>66</v>
      </c>
      <c r="W945" t="s">
        <v>66</v>
      </c>
      <c r="X945" t="s">
        <v>66</v>
      </c>
      <c r="Y945" t="s">
        <v>66</v>
      </c>
      <c r="Z945" s="99" t="str">
        <f t="shared" ca="1" si="73"/>
        <v/>
      </c>
      <c r="AA945" s="101" t="str">
        <f t="shared" ca="1" si="74"/>
        <v/>
      </c>
    </row>
    <row r="946" spans="2:27" ht="27.6" customHeight="1">
      <c r="B946">
        <f t="shared" ca="1" si="70"/>
        <v>0</v>
      </c>
      <c r="C946" t="s">
        <v>36</v>
      </c>
      <c r="G946" s="75">
        <v>1</v>
      </c>
      <c r="J946" s="66" t="str">
        <f t="shared" ca="1" si="71"/>
        <v>14%</v>
      </c>
      <c r="K946" t="s">
        <v>59</v>
      </c>
      <c r="L946" s="66" t="str">
        <f t="shared" ca="1" si="72"/>
        <v>Sin costo</v>
      </c>
      <c r="M946" t="s">
        <v>64</v>
      </c>
      <c r="N946" t="s">
        <v>66</v>
      </c>
      <c r="O946" t="s">
        <v>66</v>
      </c>
      <c r="P946" t="s">
        <v>66</v>
      </c>
      <c r="R946" t="s">
        <v>66</v>
      </c>
      <c r="U946" t="s">
        <v>90</v>
      </c>
      <c r="V946" t="s">
        <v>66</v>
      </c>
      <c r="W946" t="s">
        <v>66</v>
      </c>
      <c r="X946" t="s">
        <v>66</v>
      </c>
      <c r="Y946" t="s">
        <v>66</v>
      </c>
      <c r="Z946" s="99" t="str">
        <f t="shared" ca="1" si="73"/>
        <v/>
      </c>
      <c r="AA946" s="101" t="str">
        <f t="shared" ca="1" si="74"/>
        <v/>
      </c>
    </row>
    <row r="947" spans="2:27" ht="27.6" customHeight="1">
      <c r="B947">
        <f t="shared" ca="1" si="70"/>
        <v>0</v>
      </c>
      <c r="C947" t="s">
        <v>36</v>
      </c>
      <c r="G947" s="75">
        <v>1</v>
      </c>
      <c r="J947" s="66" t="str">
        <f t="shared" ca="1" si="71"/>
        <v>14%</v>
      </c>
      <c r="K947" t="s">
        <v>59</v>
      </c>
      <c r="L947" s="66" t="str">
        <f t="shared" ca="1" si="72"/>
        <v>Sin costo</v>
      </c>
      <c r="M947" t="s">
        <v>64</v>
      </c>
      <c r="N947" t="s">
        <v>66</v>
      </c>
      <c r="O947" t="s">
        <v>66</v>
      </c>
      <c r="P947" t="s">
        <v>66</v>
      </c>
      <c r="R947" t="s">
        <v>66</v>
      </c>
      <c r="U947" t="s">
        <v>90</v>
      </c>
      <c r="V947" t="s">
        <v>66</v>
      </c>
      <c r="W947" t="s">
        <v>66</v>
      </c>
      <c r="X947" t="s">
        <v>66</v>
      </c>
      <c r="Y947" t="s">
        <v>66</v>
      </c>
      <c r="Z947" s="99" t="str">
        <f t="shared" ca="1" si="73"/>
        <v/>
      </c>
      <c r="AA947" s="101" t="str">
        <f t="shared" ca="1" si="74"/>
        <v/>
      </c>
    </row>
    <row r="948" spans="2:27" ht="27.6" customHeight="1">
      <c r="B948">
        <f t="shared" ca="1" si="70"/>
        <v>0</v>
      </c>
      <c r="C948" t="s">
        <v>36</v>
      </c>
      <c r="G948" s="75">
        <v>1</v>
      </c>
      <c r="J948" s="66" t="str">
        <f t="shared" ca="1" si="71"/>
        <v>14%</v>
      </c>
      <c r="K948" t="s">
        <v>59</v>
      </c>
      <c r="L948" s="66" t="str">
        <f t="shared" ca="1" si="72"/>
        <v>Sin costo</v>
      </c>
      <c r="M948" t="s">
        <v>64</v>
      </c>
      <c r="N948" t="s">
        <v>66</v>
      </c>
      <c r="O948" t="s">
        <v>66</v>
      </c>
      <c r="P948" t="s">
        <v>66</v>
      </c>
      <c r="R948" t="s">
        <v>66</v>
      </c>
      <c r="U948" t="s">
        <v>90</v>
      </c>
      <c r="V948" t="s">
        <v>66</v>
      </c>
      <c r="W948" t="s">
        <v>66</v>
      </c>
      <c r="X948" t="s">
        <v>66</v>
      </c>
      <c r="Y948" t="s">
        <v>66</v>
      </c>
      <c r="Z948" s="99" t="str">
        <f t="shared" ca="1" si="73"/>
        <v/>
      </c>
      <c r="AA948" s="101" t="str">
        <f t="shared" ca="1" si="74"/>
        <v/>
      </c>
    </row>
    <row r="949" spans="2:27" ht="27.6" customHeight="1">
      <c r="B949">
        <f t="shared" ca="1" si="70"/>
        <v>0</v>
      </c>
      <c r="C949" t="s">
        <v>36</v>
      </c>
      <c r="G949" s="75">
        <v>1</v>
      </c>
      <c r="J949" s="66" t="str">
        <f t="shared" ca="1" si="71"/>
        <v>14%</v>
      </c>
      <c r="K949" t="s">
        <v>59</v>
      </c>
      <c r="L949" s="66" t="str">
        <f t="shared" ca="1" si="72"/>
        <v>Sin costo</v>
      </c>
      <c r="M949" t="s">
        <v>64</v>
      </c>
      <c r="N949" t="s">
        <v>66</v>
      </c>
      <c r="O949" t="s">
        <v>66</v>
      </c>
      <c r="P949" t="s">
        <v>66</v>
      </c>
      <c r="R949" t="s">
        <v>66</v>
      </c>
      <c r="U949" t="s">
        <v>90</v>
      </c>
      <c r="V949" t="s">
        <v>66</v>
      </c>
      <c r="W949" t="s">
        <v>66</v>
      </c>
      <c r="X949" t="s">
        <v>66</v>
      </c>
      <c r="Y949" t="s">
        <v>66</v>
      </c>
      <c r="Z949" s="99" t="str">
        <f t="shared" ca="1" si="73"/>
        <v/>
      </c>
      <c r="AA949" s="101" t="str">
        <f t="shared" ca="1" si="74"/>
        <v/>
      </c>
    </row>
    <row r="950" spans="2:27" ht="27.6" customHeight="1">
      <c r="B950">
        <f t="shared" ca="1" si="70"/>
        <v>0</v>
      </c>
      <c r="C950" t="s">
        <v>36</v>
      </c>
      <c r="G950" s="75">
        <v>1</v>
      </c>
      <c r="J950" s="66" t="str">
        <f t="shared" ca="1" si="71"/>
        <v>14%</v>
      </c>
      <c r="K950" t="s">
        <v>59</v>
      </c>
      <c r="L950" s="66" t="str">
        <f t="shared" ca="1" si="72"/>
        <v>Sin costo</v>
      </c>
      <c r="M950" t="s">
        <v>64</v>
      </c>
      <c r="N950" t="s">
        <v>66</v>
      </c>
      <c r="O950" t="s">
        <v>66</v>
      </c>
      <c r="P950" t="s">
        <v>66</v>
      </c>
      <c r="R950" t="s">
        <v>66</v>
      </c>
      <c r="U950" t="s">
        <v>90</v>
      </c>
      <c r="V950" t="s">
        <v>66</v>
      </c>
      <c r="W950" t="s">
        <v>66</v>
      </c>
      <c r="X950" t="s">
        <v>66</v>
      </c>
      <c r="Y950" t="s">
        <v>66</v>
      </c>
      <c r="Z950" s="99" t="str">
        <f t="shared" ca="1" si="73"/>
        <v/>
      </c>
      <c r="AA950" s="101" t="str">
        <f t="shared" ca="1" si="74"/>
        <v/>
      </c>
    </row>
    <row r="951" spans="2:27" ht="27.6" customHeight="1">
      <c r="B951">
        <f t="shared" ca="1" si="70"/>
        <v>0</v>
      </c>
      <c r="C951" t="s">
        <v>36</v>
      </c>
      <c r="G951" s="75">
        <v>1</v>
      </c>
      <c r="J951" s="66" t="str">
        <f t="shared" ca="1" si="71"/>
        <v>14%</v>
      </c>
      <c r="K951" t="s">
        <v>59</v>
      </c>
      <c r="L951" s="66" t="str">
        <f t="shared" ca="1" si="72"/>
        <v>Sin costo</v>
      </c>
      <c r="M951" t="s">
        <v>64</v>
      </c>
      <c r="N951" t="s">
        <v>66</v>
      </c>
      <c r="O951" t="s">
        <v>66</v>
      </c>
      <c r="P951" t="s">
        <v>66</v>
      </c>
      <c r="R951" t="s">
        <v>66</v>
      </c>
      <c r="U951" t="s">
        <v>90</v>
      </c>
      <c r="V951" t="s">
        <v>66</v>
      </c>
      <c r="W951" t="s">
        <v>66</v>
      </c>
      <c r="X951" t="s">
        <v>66</v>
      </c>
      <c r="Y951" t="s">
        <v>66</v>
      </c>
      <c r="Z951" s="99" t="str">
        <f t="shared" ca="1" si="73"/>
        <v/>
      </c>
      <c r="AA951" s="101" t="str">
        <f t="shared" ca="1" si="74"/>
        <v/>
      </c>
    </row>
    <row r="952" spans="2:27" ht="27.6" customHeight="1">
      <c r="B952">
        <f t="shared" ca="1" si="70"/>
        <v>0</v>
      </c>
      <c r="C952" t="s">
        <v>36</v>
      </c>
      <c r="G952" s="75">
        <v>1</v>
      </c>
      <c r="J952" s="66" t="str">
        <f t="shared" ca="1" si="71"/>
        <v>14%</v>
      </c>
      <c r="K952" t="s">
        <v>59</v>
      </c>
      <c r="L952" s="66" t="str">
        <f t="shared" ca="1" si="72"/>
        <v>Sin costo</v>
      </c>
      <c r="M952" t="s">
        <v>64</v>
      </c>
      <c r="N952" t="s">
        <v>66</v>
      </c>
      <c r="O952" t="s">
        <v>66</v>
      </c>
      <c r="P952" t="s">
        <v>66</v>
      </c>
      <c r="R952" t="s">
        <v>66</v>
      </c>
      <c r="U952" t="s">
        <v>90</v>
      </c>
      <c r="V952" t="s">
        <v>66</v>
      </c>
      <c r="W952" t="s">
        <v>66</v>
      </c>
      <c r="X952" t="s">
        <v>66</v>
      </c>
      <c r="Y952" t="s">
        <v>66</v>
      </c>
      <c r="Z952" s="99" t="str">
        <f t="shared" ca="1" si="73"/>
        <v/>
      </c>
      <c r="AA952" s="101" t="str">
        <f t="shared" ca="1" si="74"/>
        <v/>
      </c>
    </row>
    <row r="953" spans="2:27" ht="27.6" customHeight="1">
      <c r="B953">
        <f t="shared" ca="1" si="70"/>
        <v>0</v>
      </c>
      <c r="C953" t="s">
        <v>36</v>
      </c>
      <c r="G953" s="75">
        <v>1</v>
      </c>
      <c r="J953" s="66" t="str">
        <f t="shared" ca="1" si="71"/>
        <v>14%</v>
      </c>
      <c r="K953" t="s">
        <v>59</v>
      </c>
      <c r="L953" s="66" t="str">
        <f t="shared" ca="1" si="72"/>
        <v>Sin costo</v>
      </c>
      <c r="M953" t="s">
        <v>64</v>
      </c>
      <c r="N953" t="s">
        <v>66</v>
      </c>
      <c r="O953" t="s">
        <v>66</v>
      </c>
      <c r="P953" t="s">
        <v>66</v>
      </c>
      <c r="R953" t="s">
        <v>66</v>
      </c>
      <c r="U953" t="s">
        <v>90</v>
      </c>
      <c r="V953" t="s">
        <v>66</v>
      </c>
      <c r="W953" t="s">
        <v>66</v>
      </c>
      <c r="X953" t="s">
        <v>66</v>
      </c>
      <c r="Y953" t="s">
        <v>66</v>
      </c>
      <c r="Z953" s="99" t="str">
        <f t="shared" ca="1" si="73"/>
        <v/>
      </c>
      <c r="AA953" s="101" t="str">
        <f t="shared" ca="1" si="74"/>
        <v/>
      </c>
    </row>
    <row r="954" spans="2:27" ht="27.6" customHeight="1">
      <c r="B954">
        <f t="shared" ca="1" si="70"/>
        <v>0</v>
      </c>
      <c r="C954" t="s">
        <v>36</v>
      </c>
      <c r="G954" s="75">
        <v>1</v>
      </c>
      <c r="J954" s="66" t="str">
        <f t="shared" ca="1" si="71"/>
        <v>14%</v>
      </c>
      <c r="K954" t="s">
        <v>59</v>
      </c>
      <c r="L954" s="66" t="str">
        <f t="shared" ca="1" si="72"/>
        <v>Sin costo</v>
      </c>
      <c r="M954" t="s">
        <v>64</v>
      </c>
      <c r="N954" t="s">
        <v>66</v>
      </c>
      <c r="O954" t="s">
        <v>66</v>
      </c>
      <c r="P954" t="s">
        <v>66</v>
      </c>
      <c r="R954" t="s">
        <v>66</v>
      </c>
      <c r="U954" t="s">
        <v>90</v>
      </c>
      <c r="V954" t="s">
        <v>66</v>
      </c>
      <c r="W954" t="s">
        <v>66</v>
      </c>
      <c r="X954" t="s">
        <v>66</v>
      </c>
      <c r="Y954" t="s">
        <v>66</v>
      </c>
      <c r="Z954" s="99" t="str">
        <f t="shared" ca="1" si="73"/>
        <v/>
      </c>
      <c r="AA954" s="101" t="str">
        <f t="shared" ca="1" si="74"/>
        <v/>
      </c>
    </row>
    <row r="955" spans="2:27" ht="27.6" customHeight="1">
      <c r="B955">
        <f t="shared" ca="1" si="70"/>
        <v>0</v>
      </c>
      <c r="C955" t="s">
        <v>36</v>
      </c>
      <c r="G955" s="75">
        <v>1</v>
      </c>
      <c r="J955" s="66" t="str">
        <f t="shared" ca="1" si="71"/>
        <v>14%</v>
      </c>
      <c r="K955" t="s">
        <v>59</v>
      </c>
      <c r="L955" s="66" t="str">
        <f t="shared" ca="1" si="72"/>
        <v>Sin costo</v>
      </c>
      <c r="M955" t="s">
        <v>64</v>
      </c>
      <c r="N955" t="s">
        <v>66</v>
      </c>
      <c r="O955" t="s">
        <v>66</v>
      </c>
      <c r="P955" t="s">
        <v>66</v>
      </c>
      <c r="R955" t="s">
        <v>66</v>
      </c>
      <c r="U955" t="s">
        <v>90</v>
      </c>
      <c r="V955" t="s">
        <v>66</v>
      </c>
      <c r="W955" t="s">
        <v>66</v>
      </c>
      <c r="X955" t="s">
        <v>66</v>
      </c>
      <c r="Y955" t="s">
        <v>66</v>
      </c>
      <c r="Z955" s="99" t="str">
        <f t="shared" ca="1" si="73"/>
        <v/>
      </c>
      <c r="AA955" s="101" t="str">
        <f t="shared" ca="1" si="74"/>
        <v/>
      </c>
    </row>
    <row r="956" spans="2:27" ht="27.6" customHeight="1">
      <c r="B956">
        <f t="shared" ca="1" si="70"/>
        <v>0</v>
      </c>
      <c r="C956" t="s">
        <v>36</v>
      </c>
      <c r="G956" s="75">
        <v>1</v>
      </c>
      <c r="J956" s="66" t="str">
        <f t="shared" ca="1" si="71"/>
        <v>14%</v>
      </c>
      <c r="K956" t="s">
        <v>59</v>
      </c>
      <c r="L956" s="66" t="str">
        <f t="shared" ca="1" si="72"/>
        <v>Sin costo</v>
      </c>
      <c r="M956" t="s">
        <v>64</v>
      </c>
      <c r="N956" t="s">
        <v>66</v>
      </c>
      <c r="O956" t="s">
        <v>66</v>
      </c>
      <c r="P956" t="s">
        <v>66</v>
      </c>
      <c r="R956" t="s">
        <v>66</v>
      </c>
      <c r="U956" t="s">
        <v>90</v>
      </c>
      <c r="V956" t="s">
        <v>66</v>
      </c>
      <c r="W956" t="s">
        <v>66</v>
      </c>
      <c r="X956" t="s">
        <v>66</v>
      </c>
      <c r="Y956" t="s">
        <v>66</v>
      </c>
      <c r="Z956" s="99" t="str">
        <f t="shared" ca="1" si="73"/>
        <v/>
      </c>
      <c r="AA956" s="101" t="str">
        <f t="shared" ca="1" si="74"/>
        <v/>
      </c>
    </row>
    <row r="957" spans="2:27" ht="27.6" customHeight="1">
      <c r="B957">
        <f t="shared" ca="1" si="70"/>
        <v>0</v>
      </c>
      <c r="C957" t="s">
        <v>36</v>
      </c>
      <c r="G957" s="75">
        <v>1</v>
      </c>
      <c r="J957" s="66" t="str">
        <f t="shared" ca="1" si="71"/>
        <v>14%</v>
      </c>
      <c r="K957" t="s">
        <v>59</v>
      </c>
      <c r="L957" s="66" t="str">
        <f t="shared" ca="1" si="72"/>
        <v>Sin costo</v>
      </c>
      <c r="M957" t="s">
        <v>64</v>
      </c>
      <c r="N957" t="s">
        <v>66</v>
      </c>
      <c r="O957" t="s">
        <v>66</v>
      </c>
      <c r="P957" t="s">
        <v>66</v>
      </c>
      <c r="R957" t="s">
        <v>66</v>
      </c>
      <c r="U957" t="s">
        <v>90</v>
      </c>
      <c r="V957" t="s">
        <v>66</v>
      </c>
      <c r="W957" t="s">
        <v>66</v>
      </c>
      <c r="X957" t="s">
        <v>66</v>
      </c>
      <c r="Y957" t="s">
        <v>66</v>
      </c>
      <c r="Z957" s="99" t="str">
        <f t="shared" ca="1" si="73"/>
        <v/>
      </c>
      <c r="AA957" s="101" t="str">
        <f t="shared" ca="1" si="74"/>
        <v/>
      </c>
    </row>
    <row r="958" spans="2:27" ht="27.6" customHeight="1">
      <c r="B958">
        <f t="shared" ca="1" si="70"/>
        <v>0</v>
      </c>
      <c r="C958" t="s">
        <v>36</v>
      </c>
      <c r="G958" s="75">
        <v>1</v>
      </c>
      <c r="J958" s="66" t="str">
        <f t="shared" ca="1" si="71"/>
        <v>14%</v>
      </c>
      <c r="K958" t="s">
        <v>59</v>
      </c>
      <c r="L958" s="66" t="str">
        <f t="shared" ca="1" si="72"/>
        <v>Sin costo</v>
      </c>
      <c r="M958" t="s">
        <v>64</v>
      </c>
      <c r="N958" t="s">
        <v>66</v>
      </c>
      <c r="O958" t="s">
        <v>66</v>
      </c>
      <c r="P958" t="s">
        <v>66</v>
      </c>
      <c r="R958" t="s">
        <v>66</v>
      </c>
      <c r="U958" t="s">
        <v>90</v>
      </c>
      <c r="V958" t="s">
        <v>66</v>
      </c>
      <c r="W958" t="s">
        <v>66</v>
      </c>
      <c r="X958" t="s">
        <v>66</v>
      </c>
      <c r="Y958" t="s">
        <v>66</v>
      </c>
      <c r="Z958" s="99" t="str">
        <f t="shared" ca="1" si="73"/>
        <v/>
      </c>
      <c r="AA958" s="101" t="str">
        <f t="shared" ca="1" si="74"/>
        <v/>
      </c>
    </row>
    <row r="959" spans="2:27" ht="27.6" customHeight="1">
      <c r="B959">
        <f t="shared" ca="1" si="70"/>
        <v>0</v>
      </c>
      <c r="C959" t="s">
        <v>36</v>
      </c>
      <c r="G959" s="75">
        <v>1</v>
      </c>
      <c r="J959" s="66" t="str">
        <f t="shared" ca="1" si="71"/>
        <v>14%</v>
      </c>
      <c r="K959" t="s">
        <v>59</v>
      </c>
      <c r="L959" s="66" t="str">
        <f t="shared" ca="1" si="72"/>
        <v>Sin costo</v>
      </c>
      <c r="M959" t="s">
        <v>64</v>
      </c>
      <c r="N959" t="s">
        <v>66</v>
      </c>
      <c r="O959" t="s">
        <v>66</v>
      </c>
      <c r="P959" t="s">
        <v>66</v>
      </c>
      <c r="R959" t="s">
        <v>66</v>
      </c>
      <c r="U959" t="s">
        <v>90</v>
      </c>
      <c r="V959" t="s">
        <v>66</v>
      </c>
      <c r="W959" t="s">
        <v>66</v>
      </c>
      <c r="X959" t="s">
        <v>66</v>
      </c>
      <c r="Y959" t="s">
        <v>66</v>
      </c>
      <c r="Z959" s="99" t="str">
        <f t="shared" ca="1" si="73"/>
        <v/>
      </c>
      <c r="AA959" s="101" t="str">
        <f t="shared" ca="1" si="74"/>
        <v/>
      </c>
    </row>
    <row r="960" spans="2:27" ht="27.6" customHeight="1">
      <c r="B960">
        <f t="shared" ca="1" si="70"/>
        <v>0</v>
      </c>
      <c r="C960" t="s">
        <v>36</v>
      </c>
      <c r="G960" s="75">
        <v>1</v>
      </c>
      <c r="J960" s="66" t="str">
        <f t="shared" ca="1" si="71"/>
        <v>14%</v>
      </c>
      <c r="K960" t="s">
        <v>59</v>
      </c>
      <c r="L960" s="66" t="str">
        <f t="shared" ca="1" si="72"/>
        <v>Sin costo</v>
      </c>
      <c r="M960" t="s">
        <v>64</v>
      </c>
      <c r="N960" t="s">
        <v>66</v>
      </c>
      <c r="O960" t="s">
        <v>66</v>
      </c>
      <c r="P960" t="s">
        <v>66</v>
      </c>
      <c r="R960" t="s">
        <v>66</v>
      </c>
      <c r="U960" t="s">
        <v>90</v>
      </c>
      <c r="V960" t="s">
        <v>66</v>
      </c>
      <c r="W960" t="s">
        <v>66</v>
      </c>
      <c r="X960" t="s">
        <v>66</v>
      </c>
      <c r="Y960" t="s">
        <v>66</v>
      </c>
      <c r="Z960" s="99" t="str">
        <f t="shared" ca="1" si="73"/>
        <v/>
      </c>
      <c r="AA960" s="101" t="str">
        <f t="shared" ca="1" si="74"/>
        <v/>
      </c>
    </row>
    <row r="961" spans="2:27" ht="27.6" customHeight="1">
      <c r="B961">
        <f t="shared" ca="1" si="70"/>
        <v>0</v>
      </c>
      <c r="C961" t="s">
        <v>36</v>
      </c>
      <c r="G961" s="75">
        <v>1</v>
      </c>
      <c r="J961" s="66" t="str">
        <f t="shared" ca="1" si="71"/>
        <v>14%</v>
      </c>
      <c r="K961" t="s">
        <v>59</v>
      </c>
      <c r="L961" s="66" t="str">
        <f t="shared" ca="1" si="72"/>
        <v>Sin costo</v>
      </c>
      <c r="M961" t="s">
        <v>64</v>
      </c>
      <c r="N961" t="s">
        <v>66</v>
      </c>
      <c r="O961" t="s">
        <v>66</v>
      </c>
      <c r="P961" t="s">
        <v>66</v>
      </c>
      <c r="R961" t="s">
        <v>66</v>
      </c>
      <c r="U961" t="s">
        <v>90</v>
      </c>
      <c r="V961" t="s">
        <v>66</v>
      </c>
      <c r="W961" t="s">
        <v>66</v>
      </c>
      <c r="X961" t="s">
        <v>66</v>
      </c>
      <c r="Y961" t="s">
        <v>66</v>
      </c>
      <c r="Z961" s="99" t="str">
        <f t="shared" ca="1" si="73"/>
        <v/>
      </c>
      <c r="AA961" s="101" t="str">
        <f t="shared" ca="1" si="74"/>
        <v/>
      </c>
    </row>
    <row r="962" spans="2:27" ht="27.6" customHeight="1">
      <c r="B962">
        <f t="shared" ca="1" si="70"/>
        <v>0</v>
      </c>
      <c r="C962" t="s">
        <v>36</v>
      </c>
      <c r="G962" s="75">
        <v>1</v>
      </c>
      <c r="J962" s="66" t="str">
        <f t="shared" ca="1" si="71"/>
        <v>14%</v>
      </c>
      <c r="K962" t="s">
        <v>59</v>
      </c>
      <c r="L962" s="66" t="str">
        <f t="shared" ca="1" si="72"/>
        <v>Sin costo</v>
      </c>
      <c r="M962" t="s">
        <v>64</v>
      </c>
      <c r="N962" t="s">
        <v>66</v>
      </c>
      <c r="O962" t="s">
        <v>66</v>
      </c>
      <c r="P962" t="s">
        <v>66</v>
      </c>
      <c r="R962" t="s">
        <v>66</v>
      </c>
      <c r="U962" t="s">
        <v>90</v>
      </c>
      <c r="V962" t="s">
        <v>66</v>
      </c>
      <c r="W962" t="s">
        <v>66</v>
      </c>
      <c r="X962" t="s">
        <v>66</v>
      </c>
      <c r="Y962" t="s">
        <v>66</v>
      </c>
      <c r="Z962" s="99" t="str">
        <f t="shared" ca="1" si="73"/>
        <v/>
      </c>
      <c r="AA962" s="101" t="str">
        <f t="shared" ca="1" si="74"/>
        <v/>
      </c>
    </row>
    <row r="963" spans="2:27" ht="27.6" customHeight="1">
      <c r="B963">
        <f t="shared" ca="1" si="70"/>
        <v>0</v>
      </c>
      <c r="C963" t="s">
        <v>36</v>
      </c>
      <c r="G963" s="75">
        <v>1</v>
      </c>
      <c r="J963" s="66" t="str">
        <f t="shared" ca="1" si="71"/>
        <v>14%</v>
      </c>
      <c r="K963" t="s">
        <v>59</v>
      </c>
      <c r="L963" s="66" t="str">
        <f t="shared" ca="1" si="72"/>
        <v>Sin costo</v>
      </c>
      <c r="M963" t="s">
        <v>64</v>
      </c>
      <c r="N963" t="s">
        <v>66</v>
      </c>
      <c r="O963" t="s">
        <v>66</v>
      </c>
      <c r="P963" t="s">
        <v>66</v>
      </c>
      <c r="R963" t="s">
        <v>66</v>
      </c>
      <c r="U963" t="s">
        <v>90</v>
      </c>
      <c r="V963" t="s">
        <v>66</v>
      </c>
      <c r="W963" t="s">
        <v>66</v>
      </c>
      <c r="X963" t="s">
        <v>66</v>
      </c>
      <c r="Y963" t="s">
        <v>66</v>
      </c>
      <c r="Z963" s="99" t="str">
        <f t="shared" ca="1" si="73"/>
        <v/>
      </c>
      <c r="AA963" s="101" t="str">
        <f t="shared" ca="1" si="74"/>
        <v/>
      </c>
    </row>
    <row r="964" spans="2:27" ht="27.6" customHeight="1">
      <c r="B964">
        <f t="shared" ca="1" si="70"/>
        <v>0</v>
      </c>
      <c r="C964" t="s">
        <v>36</v>
      </c>
      <c r="G964" s="75">
        <v>1</v>
      </c>
      <c r="J964" s="66" t="str">
        <f t="shared" ca="1" si="71"/>
        <v>14%</v>
      </c>
      <c r="K964" t="s">
        <v>59</v>
      </c>
      <c r="L964" s="66" t="str">
        <f t="shared" ca="1" si="72"/>
        <v>Sin costo</v>
      </c>
      <c r="M964" t="s">
        <v>64</v>
      </c>
      <c r="N964" t="s">
        <v>66</v>
      </c>
      <c r="O964" t="s">
        <v>66</v>
      </c>
      <c r="P964" t="s">
        <v>66</v>
      </c>
      <c r="R964" t="s">
        <v>66</v>
      </c>
      <c r="U964" t="s">
        <v>90</v>
      </c>
      <c r="V964" t="s">
        <v>66</v>
      </c>
      <c r="W964" t="s">
        <v>66</v>
      </c>
      <c r="X964" t="s">
        <v>66</v>
      </c>
      <c r="Y964" t="s">
        <v>66</v>
      </c>
      <c r="Z964" s="99" t="str">
        <f t="shared" ca="1" si="73"/>
        <v/>
      </c>
      <c r="AA964" s="101" t="str">
        <f t="shared" ca="1" si="74"/>
        <v/>
      </c>
    </row>
    <row r="965" spans="2:27" ht="27.6" customHeight="1">
      <c r="B965">
        <f t="shared" ca="1" si="70"/>
        <v>0</v>
      </c>
      <c r="C965" t="s">
        <v>36</v>
      </c>
      <c r="G965" s="75">
        <v>1</v>
      </c>
      <c r="J965" s="66" t="str">
        <f t="shared" ca="1" si="71"/>
        <v>14%</v>
      </c>
      <c r="K965" t="s">
        <v>59</v>
      </c>
      <c r="L965" s="66" t="str">
        <f t="shared" ca="1" si="72"/>
        <v>Sin costo</v>
      </c>
      <c r="M965" t="s">
        <v>64</v>
      </c>
      <c r="N965" t="s">
        <v>66</v>
      </c>
      <c r="O965" t="s">
        <v>66</v>
      </c>
      <c r="P965" t="s">
        <v>66</v>
      </c>
      <c r="R965" t="s">
        <v>66</v>
      </c>
      <c r="U965" t="s">
        <v>90</v>
      </c>
      <c r="V965" t="s">
        <v>66</v>
      </c>
      <c r="W965" t="s">
        <v>66</v>
      </c>
      <c r="X965" t="s">
        <v>66</v>
      </c>
      <c r="Y965" t="s">
        <v>66</v>
      </c>
      <c r="Z965" s="99" t="str">
        <f t="shared" ca="1" si="73"/>
        <v/>
      </c>
      <c r="AA965" s="101" t="str">
        <f t="shared" ca="1" si="74"/>
        <v/>
      </c>
    </row>
    <row r="966" spans="2:27" ht="27.6" customHeight="1">
      <c r="B966">
        <f t="shared" ca="1" si="70"/>
        <v>0</v>
      </c>
      <c r="C966" t="s">
        <v>36</v>
      </c>
      <c r="G966" s="75">
        <v>1</v>
      </c>
      <c r="J966" s="66" t="str">
        <f t="shared" ca="1" si="71"/>
        <v>14%</v>
      </c>
      <c r="K966" t="s">
        <v>59</v>
      </c>
      <c r="L966" s="66" t="str">
        <f t="shared" ca="1" si="72"/>
        <v>Sin costo</v>
      </c>
      <c r="M966" t="s">
        <v>64</v>
      </c>
      <c r="N966" t="s">
        <v>66</v>
      </c>
      <c r="O966" t="s">
        <v>66</v>
      </c>
      <c r="P966" t="s">
        <v>66</v>
      </c>
      <c r="R966" t="s">
        <v>66</v>
      </c>
      <c r="U966" t="s">
        <v>90</v>
      </c>
      <c r="V966" t="s">
        <v>66</v>
      </c>
      <c r="W966" t="s">
        <v>66</v>
      </c>
      <c r="X966" t="s">
        <v>66</v>
      </c>
      <c r="Y966" t="s">
        <v>66</v>
      </c>
      <c r="Z966" s="99" t="str">
        <f t="shared" ca="1" si="73"/>
        <v/>
      </c>
      <c r="AA966" s="101" t="str">
        <f t="shared" ca="1" si="74"/>
        <v/>
      </c>
    </row>
    <row r="967" spans="2:27" ht="27.6" customHeight="1">
      <c r="B967">
        <f t="shared" ref="B967:B1001" ca="1" si="75">LEN(INDIRECT(ADDRESS(ROW() + (0),COLUMN() + (-1))))</f>
        <v>0</v>
      </c>
      <c r="C967" t="s">
        <v>36</v>
      </c>
      <c r="G967" s="75">
        <v>1</v>
      </c>
      <c r="J967" s="66" t="str">
        <f t="shared" ref="J967:J1001" ca="1" si="76">IF(INDIRECT(ADDRESS(ROW() + (0),COLUMN() + (1)))="Agregar cuotas", IF(("14%")="", "-", "14%"), IF(INDIRECT(ADDRESS(ROW() + (0),COLUMN() + (1)))="No agregar cuotas", IF(("14%")="", "-", "14%"), "-"))</f>
        <v>14%</v>
      </c>
      <c r="K967" t="s">
        <v>59</v>
      </c>
      <c r="L967" s="66" t="str">
        <f t="shared" ref="L967:L1001" ca="1" si="77">IF(INDIRECT(ADDRESS(ROW() + (0),COLUMN() + (-1)))="Agregar cuotas", IF(("13.9%")="", "Sin costo", "13.9%"), IF(INDIRECT(ADDRESS(ROW() + (0),COLUMN() + (-1)))="No agregar cuotas", IF(("")="", "Sin costo", ""), "-"))</f>
        <v>Sin costo</v>
      </c>
      <c r="M967" t="s">
        <v>64</v>
      </c>
      <c r="N967" t="s">
        <v>66</v>
      </c>
      <c r="O967" t="s">
        <v>66</v>
      </c>
      <c r="P967" t="s">
        <v>66</v>
      </c>
      <c r="R967" t="s">
        <v>66</v>
      </c>
      <c r="U967" t="s">
        <v>90</v>
      </c>
      <c r="V967" t="s">
        <v>66</v>
      </c>
      <c r="W967" t="s">
        <v>66</v>
      </c>
      <c r="X967" t="s">
        <v>66</v>
      </c>
      <c r="Y967" t="s">
        <v>66</v>
      </c>
      <c r="Z967" s="99" t="str">
        <f t="shared" ref="Z967:Z1001" ca="1" si="78">IF(AND(INDIRECT("AA"&amp;ROW()) &lt;&gt; "",OR(TRIM(INDIRECT("C"&amp;ROW())) = "",INDIRECT("C"&amp;ROW()) = "Seleccionar"))," - Condición", "")&amp;IF(AND(INDIRECT("AA"&amp;ROW()) &lt;&gt; "",OR(TRIM(INDIRECT("E"&amp;ROW())) = "",INDIRECT("E"&amp;ROW()) = "Escribí o elegí un valor"))," - Fotos", "")&amp;IF(AND(INDIRECT("AA"&amp;ROW()) &lt;&gt; "",OR(TRIM(INDIRECT("G"&amp;ROW())) = "",INDIRECT("G"&amp;ROW()) = ""))," - Stock", "")&amp;IF(AND(INDIRECT("AA"&amp;ROW()) &lt;&gt; "",OR(TRIM(INDIRECT("H"&amp;ROW())) = "",INDIRECT("H"&amp;ROW()) = ""))," - Precio [$]", "")&amp;IF(AND(INDIRECT("AA"&amp;ROW()) &lt;&gt; "",OR(TRIM(INDIRECT("K"&amp;ROW())) = "",INDIRECT("K"&amp;ROW()) = "Seleccionar"))," - Cuotas", "")&amp;IF(AND(INDIRECT("AA"&amp;ROW()) &lt;&gt; "",OR(TRIM(INDIRECT("M"&amp;ROW())) = "",INDIRECT("M"&amp;ROW()) = "Seleccionar"))," - Forma de envío", "")&amp;IF(AND(INDIRECT("AA"&amp;ROW()) &lt;&gt; "",OR(TRIM(INDIRECT("N"&amp;ROW())) = "",INDIRECT("N"&amp;ROW()) = "Seleccionar"))," - Costo de envío", "")&amp;IF(AND(INDIRECT("AA"&amp;ROW()) &lt;&gt; "",OR(TRIM(INDIRECT("O"&amp;ROW())) = "",INDIRECT("O"&amp;ROW()) = "Seleccionar"))," - Retiro en persona", "")&amp;IF(AND(INDIRECT("AA"&amp;ROW()) &lt;&gt; "",OR(TRIM(INDIRECT("S"&amp;ROW())) = "",INDIRECT("S"&amp;ROW()) = "Escribí o elegí un valor"))," - Marca", "")&amp;IF(AND(INDIRECT("AA"&amp;ROW()) &lt;&gt; "",OR(TRIM(INDIRECT("T"&amp;ROW())) = "",INDIRECT("T"&amp;ROW()) = "Escribí o elegí un valor"))," - Número de pieza", "")</f>
        <v/>
      </c>
      <c r="AA967" s="101" t="str">
        <f t="shared" ref="AA967:AA1001" ca="1" si="79">IF(TRIM(INDIRECT("A"&amp;ROW())) &lt;&gt; "",FALSE,"")</f>
        <v/>
      </c>
    </row>
    <row r="968" spans="2:27" ht="27.6" customHeight="1">
      <c r="B968">
        <f t="shared" ca="1" si="75"/>
        <v>0</v>
      </c>
      <c r="C968" t="s">
        <v>36</v>
      </c>
      <c r="G968" s="75">
        <v>1</v>
      </c>
      <c r="J968" s="66" t="str">
        <f t="shared" ca="1" si="76"/>
        <v>14%</v>
      </c>
      <c r="K968" t="s">
        <v>59</v>
      </c>
      <c r="L968" s="66" t="str">
        <f t="shared" ca="1" si="77"/>
        <v>Sin costo</v>
      </c>
      <c r="M968" t="s">
        <v>64</v>
      </c>
      <c r="N968" t="s">
        <v>66</v>
      </c>
      <c r="O968" t="s">
        <v>66</v>
      </c>
      <c r="P968" t="s">
        <v>66</v>
      </c>
      <c r="R968" t="s">
        <v>66</v>
      </c>
      <c r="U968" t="s">
        <v>90</v>
      </c>
      <c r="V968" t="s">
        <v>66</v>
      </c>
      <c r="W968" t="s">
        <v>66</v>
      </c>
      <c r="X968" t="s">
        <v>66</v>
      </c>
      <c r="Y968" t="s">
        <v>66</v>
      </c>
      <c r="Z968" s="99" t="str">
        <f t="shared" ca="1" si="78"/>
        <v/>
      </c>
      <c r="AA968" s="101" t="str">
        <f t="shared" ca="1" si="79"/>
        <v/>
      </c>
    </row>
    <row r="969" spans="2:27" ht="27.6" customHeight="1">
      <c r="B969">
        <f t="shared" ca="1" si="75"/>
        <v>0</v>
      </c>
      <c r="C969" t="s">
        <v>36</v>
      </c>
      <c r="G969" s="75">
        <v>1</v>
      </c>
      <c r="J969" s="66" t="str">
        <f t="shared" ca="1" si="76"/>
        <v>14%</v>
      </c>
      <c r="K969" t="s">
        <v>59</v>
      </c>
      <c r="L969" s="66" t="str">
        <f t="shared" ca="1" si="77"/>
        <v>Sin costo</v>
      </c>
      <c r="M969" t="s">
        <v>64</v>
      </c>
      <c r="N969" t="s">
        <v>66</v>
      </c>
      <c r="O969" t="s">
        <v>66</v>
      </c>
      <c r="P969" t="s">
        <v>66</v>
      </c>
      <c r="R969" t="s">
        <v>66</v>
      </c>
      <c r="U969" t="s">
        <v>90</v>
      </c>
      <c r="V969" t="s">
        <v>66</v>
      </c>
      <c r="W969" t="s">
        <v>66</v>
      </c>
      <c r="X969" t="s">
        <v>66</v>
      </c>
      <c r="Y969" t="s">
        <v>66</v>
      </c>
      <c r="Z969" s="99" t="str">
        <f t="shared" ca="1" si="78"/>
        <v/>
      </c>
      <c r="AA969" s="101" t="str">
        <f t="shared" ca="1" si="79"/>
        <v/>
      </c>
    </row>
    <row r="970" spans="2:27" ht="27.6" customHeight="1">
      <c r="B970">
        <f t="shared" ca="1" si="75"/>
        <v>0</v>
      </c>
      <c r="C970" t="s">
        <v>36</v>
      </c>
      <c r="G970" s="75">
        <v>1</v>
      </c>
      <c r="J970" s="66" t="str">
        <f t="shared" ca="1" si="76"/>
        <v>14%</v>
      </c>
      <c r="K970" t="s">
        <v>59</v>
      </c>
      <c r="L970" s="66" t="str">
        <f t="shared" ca="1" si="77"/>
        <v>Sin costo</v>
      </c>
      <c r="M970" t="s">
        <v>64</v>
      </c>
      <c r="N970" t="s">
        <v>66</v>
      </c>
      <c r="O970" t="s">
        <v>66</v>
      </c>
      <c r="P970" t="s">
        <v>66</v>
      </c>
      <c r="R970" t="s">
        <v>66</v>
      </c>
      <c r="U970" t="s">
        <v>90</v>
      </c>
      <c r="V970" t="s">
        <v>66</v>
      </c>
      <c r="W970" t="s">
        <v>66</v>
      </c>
      <c r="X970" t="s">
        <v>66</v>
      </c>
      <c r="Y970" t="s">
        <v>66</v>
      </c>
      <c r="Z970" s="99" t="str">
        <f t="shared" ca="1" si="78"/>
        <v/>
      </c>
      <c r="AA970" s="101" t="str">
        <f t="shared" ca="1" si="79"/>
        <v/>
      </c>
    </row>
    <row r="971" spans="2:27" ht="27.6" customHeight="1">
      <c r="B971">
        <f t="shared" ca="1" si="75"/>
        <v>0</v>
      </c>
      <c r="C971" t="s">
        <v>36</v>
      </c>
      <c r="G971" s="75">
        <v>1</v>
      </c>
      <c r="J971" s="66" t="str">
        <f t="shared" ca="1" si="76"/>
        <v>14%</v>
      </c>
      <c r="K971" t="s">
        <v>59</v>
      </c>
      <c r="L971" s="66" t="str">
        <f t="shared" ca="1" si="77"/>
        <v>Sin costo</v>
      </c>
      <c r="M971" t="s">
        <v>64</v>
      </c>
      <c r="N971" t="s">
        <v>66</v>
      </c>
      <c r="O971" t="s">
        <v>66</v>
      </c>
      <c r="P971" t="s">
        <v>66</v>
      </c>
      <c r="R971" t="s">
        <v>66</v>
      </c>
      <c r="U971" t="s">
        <v>90</v>
      </c>
      <c r="V971" t="s">
        <v>66</v>
      </c>
      <c r="W971" t="s">
        <v>66</v>
      </c>
      <c r="X971" t="s">
        <v>66</v>
      </c>
      <c r="Y971" t="s">
        <v>66</v>
      </c>
      <c r="Z971" s="99" t="str">
        <f t="shared" ca="1" si="78"/>
        <v/>
      </c>
      <c r="AA971" s="101" t="str">
        <f t="shared" ca="1" si="79"/>
        <v/>
      </c>
    </row>
    <row r="972" spans="2:27" ht="27.6" customHeight="1">
      <c r="B972">
        <f t="shared" ca="1" si="75"/>
        <v>0</v>
      </c>
      <c r="C972" t="s">
        <v>36</v>
      </c>
      <c r="G972" s="75">
        <v>1</v>
      </c>
      <c r="J972" s="66" t="str">
        <f t="shared" ca="1" si="76"/>
        <v>14%</v>
      </c>
      <c r="K972" t="s">
        <v>59</v>
      </c>
      <c r="L972" s="66" t="str">
        <f t="shared" ca="1" si="77"/>
        <v>Sin costo</v>
      </c>
      <c r="M972" t="s">
        <v>64</v>
      </c>
      <c r="N972" t="s">
        <v>66</v>
      </c>
      <c r="O972" t="s">
        <v>66</v>
      </c>
      <c r="P972" t="s">
        <v>66</v>
      </c>
      <c r="R972" t="s">
        <v>66</v>
      </c>
      <c r="U972" t="s">
        <v>90</v>
      </c>
      <c r="V972" t="s">
        <v>66</v>
      </c>
      <c r="W972" t="s">
        <v>66</v>
      </c>
      <c r="X972" t="s">
        <v>66</v>
      </c>
      <c r="Y972" t="s">
        <v>66</v>
      </c>
      <c r="Z972" s="99" t="str">
        <f t="shared" ca="1" si="78"/>
        <v/>
      </c>
      <c r="AA972" s="101" t="str">
        <f t="shared" ca="1" si="79"/>
        <v/>
      </c>
    </row>
    <row r="973" spans="2:27" ht="27.6" customHeight="1">
      <c r="B973">
        <f t="shared" ca="1" si="75"/>
        <v>0</v>
      </c>
      <c r="C973" t="s">
        <v>36</v>
      </c>
      <c r="G973" s="75">
        <v>1</v>
      </c>
      <c r="J973" s="66" t="str">
        <f t="shared" ca="1" si="76"/>
        <v>14%</v>
      </c>
      <c r="K973" t="s">
        <v>59</v>
      </c>
      <c r="L973" s="66" t="str">
        <f t="shared" ca="1" si="77"/>
        <v>Sin costo</v>
      </c>
      <c r="M973" t="s">
        <v>64</v>
      </c>
      <c r="N973" t="s">
        <v>66</v>
      </c>
      <c r="O973" t="s">
        <v>66</v>
      </c>
      <c r="P973" t="s">
        <v>66</v>
      </c>
      <c r="R973" t="s">
        <v>66</v>
      </c>
      <c r="U973" t="s">
        <v>90</v>
      </c>
      <c r="V973" t="s">
        <v>66</v>
      </c>
      <c r="W973" t="s">
        <v>66</v>
      </c>
      <c r="X973" t="s">
        <v>66</v>
      </c>
      <c r="Y973" t="s">
        <v>66</v>
      </c>
      <c r="Z973" s="99" t="str">
        <f t="shared" ca="1" si="78"/>
        <v/>
      </c>
      <c r="AA973" s="101" t="str">
        <f t="shared" ca="1" si="79"/>
        <v/>
      </c>
    </row>
    <row r="974" spans="2:27" ht="27.6" customHeight="1">
      <c r="B974">
        <f t="shared" ca="1" si="75"/>
        <v>0</v>
      </c>
      <c r="C974" t="s">
        <v>36</v>
      </c>
      <c r="G974" s="75">
        <v>1</v>
      </c>
      <c r="J974" s="66" t="str">
        <f t="shared" ca="1" si="76"/>
        <v>14%</v>
      </c>
      <c r="K974" t="s">
        <v>59</v>
      </c>
      <c r="L974" s="66" t="str">
        <f t="shared" ca="1" si="77"/>
        <v>Sin costo</v>
      </c>
      <c r="M974" t="s">
        <v>64</v>
      </c>
      <c r="N974" t="s">
        <v>66</v>
      </c>
      <c r="O974" t="s">
        <v>66</v>
      </c>
      <c r="P974" t="s">
        <v>66</v>
      </c>
      <c r="R974" t="s">
        <v>66</v>
      </c>
      <c r="U974" t="s">
        <v>90</v>
      </c>
      <c r="V974" t="s">
        <v>66</v>
      </c>
      <c r="W974" t="s">
        <v>66</v>
      </c>
      <c r="X974" t="s">
        <v>66</v>
      </c>
      <c r="Y974" t="s">
        <v>66</v>
      </c>
      <c r="Z974" s="99" t="str">
        <f t="shared" ca="1" si="78"/>
        <v/>
      </c>
      <c r="AA974" s="101" t="str">
        <f t="shared" ca="1" si="79"/>
        <v/>
      </c>
    </row>
    <row r="975" spans="2:27" ht="27.6" customHeight="1">
      <c r="B975">
        <f t="shared" ca="1" si="75"/>
        <v>0</v>
      </c>
      <c r="C975" t="s">
        <v>36</v>
      </c>
      <c r="G975" s="75">
        <v>1</v>
      </c>
      <c r="J975" s="66" t="str">
        <f t="shared" ca="1" si="76"/>
        <v>14%</v>
      </c>
      <c r="K975" t="s">
        <v>59</v>
      </c>
      <c r="L975" s="66" t="str">
        <f t="shared" ca="1" si="77"/>
        <v>Sin costo</v>
      </c>
      <c r="M975" t="s">
        <v>64</v>
      </c>
      <c r="N975" t="s">
        <v>66</v>
      </c>
      <c r="O975" t="s">
        <v>66</v>
      </c>
      <c r="P975" t="s">
        <v>66</v>
      </c>
      <c r="R975" t="s">
        <v>66</v>
      </c>
      <c r="U975" t="s">
        <v>90</v>
      </c>
      <c r="V975" t="s">
        <v>66</v>
      </c>
      <c r="W975" t="s">
        <v>66</v>
      </c>
      <c r="X975" t="s">
        <v>66</v>
      </c>
      <c r="Y975" t="s">
        <v>66</v>
      </c>
      <c r="Z975" s="99" t="str">
        <f t="shared" ca="1" si="78"/>
        <v/>
      </c>
      <c r="AA975" s="101" t="str">
        <f t="shared" ca="1" si="79"/>
        <v/>
      </c>
    </row>
    <row r="976" spans="2:27" ht="27.6" customHeight="1">
      <c r="B976">
        <f t="shared" ca="1" si="75"/>
        <v>0</v>
      </c>
      <c r="C976" t="s">
        <v>36</v>
      </c>
      <c r="G976" s="75">
        <v>1</v>
      </c>
      <c r="J976" s="66" t="str">
        <f t="shared" ca="1" si="76"/>
        <v>14%</v>
      </c>
      <c r="K976" t="s">
        <v>59</v>
      </c>
      <c r="L976" s="66" t="str">
        <f t="shared" ca="1" si="77"/>
        <v>Sin costo</v>
      </c>
      <c r="M976" t="s">
        <v>64</v>
      </c>
      <c r="N976" t="s">
        <v>66</v>
      </c>
      <c r="O976" t="s">
        <v>66</v>
      </c>
      <c r="P976" t="s">
        <v>66</v>
      </c>
      <c r="R976" t="s">
        <v>66</v>
      </c>
      <c r="U976" t="s">
        <v>90</v>
      </c>
      <c r="V976" t="s">
        <v>66</v>
      </c>
      <c r="W976" t="s">
        <v>66</v>
      </c>
      <c r="X976" t="s">
        <v>66</v>
      </c>
      <c r="Y976" t="s">
        <v>66</v>
      </c>
      <c r="Z976" s="99" t="str">
        <f t="shared" ca="1" si="78"/>
        <v/>
      </c>
      <c r="AA976" s="101" t="str">
        <f t="shared" ca="1" si="79"/>
        <v/>
      </c>
    </row>
    <row r="977" spans="2:27" ht="27.6" customHeight="1">
      <c r="B977">
        <f t="shared" ca="1" si="75"/>
        <v>0</v>
      </c>
      <c r="C977" t="s">
        <v>36</v>
      </c>
      <c r="G977" s="75">
        <v>1</v>
      </c>
      <c r="J977" s="66" t="str">
        <f t="shared" ca="1" si="76"/>
        <v>14%</v>
      </c>
      <c r="K977" t="s">
        <v>59</v>
      </c>
      <c r="L977" s="66" t="str">
        <f t="shared" ca="1" si="77"/>
        <v>Sin costo</v>
      </c>
      <c r="M977" t="s">
        <v>64</v>
      </c>
      <c r="N977" t="s">
        <v>66</v>
      </c>
      <c r="O977" t="s">
        <v>66</v>
      </c>
      <c r="P977" t="s">
        <v>66</v>
      </c>
      <c r="R977" t="s">
        <v>66</v>
      </c>
      <c r="U977" t="s">
        <v>90</v>
      </c>
      <c r="V977" t="s">
        <v>66</v>
      </c>
      <c r="W977" t="s">
        <v>66</v>
      </c>
      <c r="X977" t="s">
        <v>66</v>
      </c>
      <c r="Y977" t="s">
        <v>66</v>
      </c>
      <c r="Z977" s="99" t="str">
        <f t="shared" ca="1" si="78"/>
        <v/>
      </c>
      <c r="AA977" s="101" t="str">
        <f t="shared" ca="1" si="79"/>
        <v/>
      </c>
    </row>
    <row r="978" spans="2:27" ht="27.6" customHeight="1">
      <c r="B978">
        <f t="shared" ca="1" si="75"/>
        <v>0</v>
      </c>
      <c r="C978" t="s">
        <v>36</v>
      </c>
      <c r="G978" s="75">
        <v>1</v>
      </c>
      <c r="J978" s="66" t="str">
        <f t="shared" ca="1" si="76"/>
        <v>14%</v>
      </c>
      <c r="K978" t="s">
        <v>59</v>
      </c>
      <c r="L978" s="66" t="str">
        <f t="shared" ca="1" si="77"/>
        <v>Sin costo</v>
      </c>
      <c r="M978" t="s">
        <v>64</v>
      </c>
      <c r="N978" t="s">
        <v>66</v>
      </c>
      <c r="O978" t="s">
        <v>66</v>
      </c>
      <c r="P978" t="s">
        <v>66</v>
      </c>
      <c r="R978" t="s">
        <v>66</v>
      </c>
      <c r="U978" t="s">
        <v>90</v>
      </c>
      <c r="V978" t="s">
        <v>66</v>
      </c>
      <c r="W978" t="s">
        <v>66</v>
      </c>
      <c r="X978" t="s">
        <v>66</v>
      </c>
      <c r="Y978" t="s">
        <v>66</v>
      </c>
      <c r="Z978" s="99" t="str">
        <f t="shared" ca="1" si="78"/>
        <v/>
      </c>
      <c r="AA978" s="101" t="str">
        <f t="shared" ca="1" si="79"/>
        <v/>
      </c>
    </row>
    <row r="979" spans="2:27" ht="27.6" customHeight="1">
      <c r="B979">
        <f t="shared" ca="1" si="75"/>
        <v>0</v>
      </c>
      <c r="C979" t="s">
        <v>36</v>
      </c>
      <c r="G979" s="75">
        <v>1</v>
      </c>
      <c r="J979" s="66" t="str">
        <f t="shared" ca="1" si="76"/>
        <v>14%</v>
      </c>
      <c r="K979" t="s">
        <v>59</v>
      </c>
      <c r="L979" s="66" t="str">
        <f t="shared" ca="1" si="77"/>
        <v>Sin costo</v>
      </c>
      <c r="M979" t="s">
        <v>64</v>
      </c>
      <c r="N979" t="s">
        <v>66</v>
      </c>
      <c r="O979" t="s">
        <v>66</v>
      </c>
      <c r="P979" t="s">
        <v>66</v>
      </c>
      <c r="R979" t="s">
        <v>66</v>
      </c>
      <c r="U979" t="s">
        <v>90</v>
      </c>
      <c r="V979" t="s">
        <v>66</v>
      </c>
      <c r="W979" t="s">
        <v>66</v>
      </c>
      <c r="X979" t="s">
        <v>66</v>
      </c>
      <c r="Y979" t="s">
        <v>66</v>
      </c>
      <c r="Z979" s="99" t="str">
        <f t="shared" ca="1" si="78"/>
        <v/>
      </c>
      <c r="AA979" s="101" t="str">
        <f t="shared" ca="1" si="79"/>
        <v/>
      </c>
    </row>
    <row r="980" spans="2:27" ht="27.6" customHeight="1">
      <c r="B980">
        <f t="shared" ca="1" si="75"/>
        <v>0</v>
      </c>
      <c r="C980" t="s">
        <v>36</v>
      </c>
      <c r="G980" s="75">
        <v>1</v>
      </c>
      <c r="J980" s="66" t="str">
        <f t="shared" ca="1" si="76"/>
        <v>14%</v>
      </c>
      <c r="K980" t="s">
        <v>59</v>
      </c>
      <c r="L980" s="66" t="str">
        <f t="shared" ca="1" si="77"/>
        <v>Sin costo</v>
      </c>
      <c r="M980" t="s">
        <v>64</v>
      </c>
      <c r="N980" t="s">
        <v>66</v>
      </c>
      <c r="O980" t="s">
        <v>66</v>
      </c>
      <c r="P980" t="s">
        <v>66</v>
      </c>
      <c r="R980" t="s">
        <v>66</v>
      </c>
      <c r="U980" t="s">
        <v>90</v>
      </c>
      <c r="V980" t="s">
        <v>66</v>
      </c>
      <c r="W980" t="s">
        <v>66</v>
      </c>
      <c r="X980" t="s">
        <v>66</v>
      </c>
      <c r="Y980" t="s">
        <v>66</v>
      </c>
      <c r="Z980" s="99" t="str">
        <f t="shared" ca="1" si="78"/>
        <v/>
      </c>
      <c r="AA980" s="101" t="str">
        <f t="shared" ca="1" si="79"/>
        <v/>
      </c>
    </row>
    <row r="981" spans="2:27" ht="27.6" customHeight="1">
      <c r="B981">
        <f t="shared" ca="1" si="75"/>
        <v>0</v>
      </c>
      <c r="C981" t="s">
        <v>36</v>
      </c>
      <c r="G981" s="75">
        <v>1</v>
      </c>
      <c r="J981" s="66" t="str">
        <f t="shared" ca="1" si="76"/>
        <v>14%</v>
      </c>
      <c r="K981" t="s">
        <v>59</v>
      </c>
      <c r="L981" s="66" t="str">
        <f t="shared" ca="1" si="77"/>
        <v>Sin costo</v>
      </c>
      <c r="M981" t="s">
        <v>64</v>
      </c>
      <c r="N981" t="s">
        <v>66</v>
      </c>
      <c r="O981" t="s">
        <v>66</v>
      </c>
      <c r="P981" t="s">
        <v>66</v>
      </c>
      <c r="R981" t="s">
        <v>66</v>
      </c>
      <c r="U981" t="s">
        <v>90</v>
      </c>
      <c r="V981" t="s">
        <v>66</v>
      </c>
      <c r="W981" t="s">
        <v>66</v>
      </c>
      <c r="X981" t="s">
        <v>66</v>
      </c>
      <c r="Y981" t="s">
        <v>66</v>
      </c>
      <c r="Z981" s="99" t="str">
        <f t="shared" ca="1" si="78"/>
        <v/>
      </c>
      <c r="AA981" s="101" t="str">
        <f t="shared" ca="1" si="79"/>
        <v/>
      </c>
    </row>
    <row r="982" spans="2:27" ht="27.6" customHeight="1">
      <c r="B982">
        <f t="shared" ca="1" si="75"/>
        <v>0</v>
      </c>
      <c r="C982" t="s">
        <v>36</v>
      </c>
      <c r="G982" s="75">
        <v>1</v>
      </c>
      <c r="J982" s="66" t="str">
        <f t="shared" ca="1" si="76"/>
        <v>14%</v>
      </c>
      <c r="K982" t="s">
        <v>59</v>
      </c>
      <c r="L982" s="66" t="str">
        <f t="shared" ca="1" si="77"/>
        <v>Sin costo</v>
      </c>
      <c r="M982" t="s">
        <v>64</v>
      </c>
      <c r="N982" t="s">
        <v>66</v>
      </c>
      <c r="O982" t="s">
        <v>66</v>
      </c>
      <c r="P982" t="s">
        <v>66</v>
      </c>
      <c r="R982" t="s">
        <v>66</v>
      </c>
      <c r="U982" t="s">
        <v>90</v>
      </c>
      <c r="V982" t="s">
        <v>66</v>
      </c>
      <c r="W982" t="s">
        <v>66</v>
      </c>
      <c r="X982" t="s">
        <v>66</v>
      </c>
      <c r="Y982" t="s">
        <v>66</v>
      </c>
      <c r="Z982" s="99" t="str">
        <f t="shared" ca="1" si="78"/>
        <v/>
      </c>
      <c r="AA982" s="101" t="str">
        <f t="shared" ca="1" si="79"/>
        <v/>
      </c>
    </row>
    <row r="983" spans="2:27" ht="27.6" customHeight="1">
      <c r="B983">
        <f t="shared" ca="1" si="75"/>
        <v>0</v>
      </c>
      <c r="C983" t="s">
        <v>36</v>
      </c>
      <c r="G983" s="75">
        <v>1</v>
      </c>
      <c r="J983" s="66" t="str">
        <f t="shared" ca="1" si="76"/>
        <v>14%</v>
      </c>
      <c r="K983" t="s">
        <v>59</v>
      </c>
      <c r="L983" s="66" t="str">
        <f t="shared" ca="1" si="77"/>
        <v>Sin costo</v>
      </c>
      <c r="M983" t="s">
        <v>64</v>
      </c>
      <c r="N983" t="s">
        <v>66</v>
      </c>
      <c r="O983" t="s">
        <v>66</v>
      </c>
      <c r="P983" t="s">
        <v>66</v>
      </c>
      <c r="R983" t="s">
        <v>66</v>
      </c>
      <c r="U983" t="s">
        <v>90</v>
      </c>
      <c r="V983" t="s">
        <v>66</v>
      </c>
      <c r="W983" t="s">
        <v>66</v>
      </c>
      <c r="X983" t="s">
        <v>66</v>
      </c>
      <c r="Y983" t="s">
        <v>66</v>
      </c>
      <c r="Z983" s="99" t="str">
        <f t="shared" ca="1" si="78"/>
        <v/>
      </c>
      <c r="AA983" s="101" t="str">
        <f t="shared" ca="1" si="79"/>
        <v/>
      </c>
    </row>
    <row r="984" spans="2:27" ht="27.6" customHeight="1">
      <c r="B984">
        <f t="shared" ca="1" si="75"/>
        <v>0</v>
      </c>
      <c r="C984" t="s">
        <v>36</v>
      </c>
      <c r="G984" s="75">
        <v>1</v>
      </c>
      <c r="J984" s="66" t="str">
        <f t="shared" ca="1" si="76"/>
        <v>14%</v>
      </c>
      <c r="K984" t="s">
        <v>59</v>
      </c>
      <c r="L984" s="66" t="str">
        <f t="shared" ca="1" si="77"/>
        <v>Sin costo</v>
      </c>
      <c r="M984" t="s">
        <v>64</v>
      </c>
      <c r="N984" t="s">
        <v>66</v>
      </c>
      <c r="O984" t="s">
        <v>66</v>
      </c>
      <c r="P984" t="s">
        <v>66</v>
      </c>
      <c r="R984" t="s">
        <v>66</v>
      </c>
      <c r="U984" t="s">
        <v>90</v>
      </c>
      <c r="V984" t="s">
        <v>66</v>
      </c>
      <c r="W984" t="s">
        <v>66</v>
      </c>
      <c r="X984" t="s">
        <v>66</v>
      </c>
      <c r="Y984" t="s">
        <v>66</v>
      </c>
      <c r="Z984" s="99" t="str">
        <f t="shared" ca="1" si="78"/>
        <v/>
      </c>
      <c r="AA984" s="101" t="str">
        <f t="shared" ca="1" si="79"/>
        <v/>
      </c>
    </row>
    <row r="985" spans="2:27" ht="27.6" customHeight="1">
      <c r="B985">
        <f t="shared" ca="1" si="75"/>
        <v>0</v>
      </c>
      <c r="C985" t="s">
        <v>36</v>
      </c>
      <c r="G985" s="75">
        <v>1</v>
      </c>
      <c r="J985" s="66" t="str">
        <f t="shared" ca="1" si="76"/>
        <v>14%</v>
      </c>
      <c r="K985" t="s">
        <v>59</v>
      </c>
      <c r="L985" s="66" t="str">
        <f t="shared" ca="1" si="77"/>
        <v>Sin costo</v>
      </c>
      <c r="M985" t="s">
        <v>64</v>
      </c>
      <c r="N985" t="s">
        <v>66</v>
      </c>
      <c r="O985" t="s">
        <v>66</v>
      </c>
      <c r="P985" t="s">
        <v>66</v>
      </c>
      <c r="R985" t="s">
        <v>66</v>
      </c>
      <c r="U985" t="s">
        <v>90</v>
      </c>
      <c r="V985" t="s">
        <v>66</v>
      </c>
      <c r="W985" t="s">
        <v>66</v>
      </c>
      <c r="X985" t="s">
        <v>66</v>
      </c>
      <c r="Y985" t="s">
        <v>66</v>
      </c>
      <c r="Z985" s="99" t="str">
        <f t="shared" ca="1" si="78"/>
        <v/>
      </c>
      <c r="AA985" s="101" t="str">
        <f t="shared" ca="1" si="79"/>
        <v/>
      </c>
    </row>
    <row r="986" spans="2:27" ht="27.6" customHeight="1">
      <c r="B986">
        <f t="shared" ca="1" si="75"/>
        <v>0</v>
      </c>
      <c r="C986" t="s">
        <v>36</v>
      </c>
      <c r="G986" s="75">
        <v>1</v>
      </c>
      <c r="J986" s="66" t="str">
        <f t="shared" ca="1" si="76"/>
        <v>14%</v>
      </c>
      <c r="K986" t="s">
        <v>59</v>
      </c>
      <c r="L986" s="66" t="str">
        <f t="shared" ca="1" si="77"/>
        <v>Sin costo</v>
      </c>
      <c r="M986" t="s">
        <v>64</v>
      </c>
      <c r="N986" t="s">
        <v>66</v>
      </c>
      <c r="O986" t="s">
        <v>66</v>
      </c>
      <c r="P986" t="s">
        <v>66</v>
      </c>
      <c r="R986" t="s">
        <v>66</v>
      </c>
      <c r="U986" t="s">
        <v>90</v>
      </c>
      <c r="V986" t="s">
        <v>66</v>
      </c>
      <c r="W986" t="s">
        <v>66</v>
      </c>
      <c r="X986" t="s">
        <v>66</v>
      </c>
      <c r="Y986" t="s">
        <v>66</v>
      </c>
      <c r="Z986" s="99" t="str">
        <f t="shared" ca="1" si="78"/>
        <v/>
      </c>
      <c r="AA986" s="101" t="str">
        <f t="shared" ca="1" si="79"/>
        <v/>
      </c>
    </row>
    <row r="987" spans="2:27" ht="27.6" customHeight="1">
      <c r="B987">
        <f t="shared" ca="1" si="75"/>
        <v>0</v>
      </c>
      <c r="C987" t="s">
        <v>36</v>
      </c>
      <c r="G987" s="75">
        <v>1</v>
      </c>
      <c r="J987" s="66" t="str">
        <f t="shared" ca="1" si="76"/>
        <v>14%</v>
      </c>
      <c r="K987" t="s">
        <v>59</v>
      </c>
      <c r="L987" s="66" t="str">
        <f t="shared" ca="1" si="77"/>
        <v>Sin costo</v>
      </c>
      <c r="M987" t="s">
        <v>64</v>
      </c>
      <c r="N987" t="s">
        <v>66</v>
      </c>
      <c r="O987" t="s">
        <v>66</v>
      </c>
      <c r="P987" t="s">
        <v>66</v>
      </c>
      <c r="R987" t="s">
        <v>66</v>
      </c>
      <c r="U987" t="s">
        <v>90</v>
      </c>
      <c r="V987" t="s">
        <v>66</v>
      </c>
      <c r="W987" t="s">
        <v>66</v>
      </c>
      <c r="X987" t="s">
        <v>66</v>
      </c>
      <c r="Y987" t="s">
        <v>66</v>
      </c>
      <c r="Z987" s="99" t="str">
        <f t="shared" ca="1" si="78"/>
        <v/>
      </c>
      <c r="AA987" s="101" t="str">
        <f t="shared" ca="1" si="79"/>
        <v/>
      </c>
    </row>
    <row r="988" spans="2:27" ht="27.6" customHeight="1">
      <c r="B988">
        <f t="shared" ca="1" si="75"/>
        <v>0</v>
      </c>
      <c r="C988" t="s">
        <v>36</v>
      </c>
      <c r="G988" s="75">
        <v>1</v>
      </c>
      <c r="J988" s="66" t="str">
        <f t="shared" ca="1" si="76"/>
        <v>14%</v>
      </c>
      <c r="K988" t="s">
        <v>59</v>
      </c>
      <c r="L988" s="66" t="str">
        <f t="shared" ca="1" si="77"/>
        <v>Sin costo</v>
      </c>
      <c r="M988" t="s">
        <v>64</v>
      </c>
      <c r="N988" t="s">
        <v>66</v>
      </c>
      <c r="O988" t="s">
        <v>66</v>
      </c>
      <c r="P988" t="s">
        <v>66</v>
      </c>
      <c r="R988" t="s">
        <v>66</v>
      </c>
      <c r="U988" t="s">
        <v>90</v>
      </c>
      <c r="V988" t="s">
        <v>66</v>
      </c>
      <c r="W988" t="s">
        <v>66</v>
      </c>
      <c r="X988" t="s">
        <v>66</v>
      </c>
      <c r="Y988" t="s">
        <v>66</v>
      </c>
      <c r="Z988" s="99" t="str">
        <f t="shared" ca="1" si="78"/>
        <v/>
      </c>
      <c r="AA988" s="101" t="str">
        <f t="shared" ca="1" si="79"/>
        <v/>
      </c>
    </row>
    <row r="989" spans="2:27" ht="27.6" customHeight="1">
      <c r="B989">
        <f t="shared" ca="1" si="75"/>
        <v>0</v>
      </c>
      <c r="C989" t="s">
        <v>36</v>
      </c>
      <c r="G989" s="75">
        <v>1</v>
      </c>
      <c r="J989" s="66" t="str">
        <f t="shared" ca="1" si="76"/>
        <v>14%</v>
      </c>
      <c r="K989" t="s">
        <v>59</v>
      </c>
      <c r="L989" s="66" t="str">
        <f t="shared" ca="1" si="77"/>
        <v>Sin costo</v>
      </c>
      <c r="M989" t="s">
        <v>64</v>
      </c>
      <c r="N989" t="s">
        <v>66</v>
      </c>
      <c r="O989" t="s">
        <v>66</v>
      </c>
      <c r="P989" t="s">
        <v>66</v>
      </c>
      <c r="R989" t="s">
        <v>66</v>
      </c>
      <c r="U989" t="s">
        <v>90</v>
      </c>
      <c r="V989" t="s">
        <v>66</v>
      </c>
      <c r="W989" t="s">
        <v>66</v>
      </c>
      <c r="X989" t="s">
        <v>66</v>
      </c>
      <c r="Y989" t="s">
        <v>66</v>
      </c>
      <c r="Z989" s="99" t="str">
        <f t="shared" ca="1" si="78"/>
        <v/>
      </c>
      <c r="AA989" s="101" t="str">
        <f t="shared" ca="1" si="79"/>
        <v/>
      </c>
    </row>
    <row r="990" spans="2:27" ht="27.6" customHeight="1">
      <c r="B990">
        <f t="shared" ca="1" si="75"/>
        <v>0</v>
      </c>
      <c r="C990" t="s">
        <v>36</v>
      </c>
      <c r="G990" s="75">
        <v>1</v>
      </c>
      <c r="J990" s="66" t="str">
        <f t="shared" ca="1" si="76"/>
        <v>14%</v>
      </c>
      <c r="K990" t="s">
        <v>59</v>
      </c>
      <c r="L990" s="66" t="str">
        <f t="shared" ca="1" si="77"/>
        <v>Sin costo</v>
      </c>
      <c r="M990" t="s">
        <v>64</v>
      </c>
      <c r="N990" t="s">
        <v>66</v>
      </c>
      <c r="O990" t="s">
        <v>66</v>
      </c>
      <c r="P990" t="s">
        <v>66</v>
      </c>
      <c r="R990" t="s">
        <v>66</v>
      </c>
      <c r="U990" t="s">
        <v>90</v>
      </c>
      <c r="V990" t="s">
        <v>66</v>
      </c>
      <c r="W990" t="s">
        <v>66</v>
      </c>
      <c r="X990" t="s">
        <v>66</v>
      </c>
      <c r="Y990" t="s">
        <v>66</v>
      </c>
      <c r="Z990" s="99" t="str">
        <f t="shared" ca="1" si="78"/>
        <v/>
      </c>
      <c r="AA990" s="101" t="str">
        <f t="shared" ca="1" si="79"/>
        <v/>
      </c>
    </row>
    <row r="991" spans="2:27" ht="27.6" customHeight="1">
      <c r="B991">
        <f t="shared" ca="1" si="75"/>
        <v>0</v>
      </c>
      <c r="C991" t="s">
        <v>36</v>
      </c>
      <c r="G991" s="75">
        <v>1</v>
      </c>
      <c r="J991" s="66" t="str">
        <f t="shared" ca="1" si="76"/>
        <v>14%</v>
      </c>
      <c r="K991" t="s">
        <v>59</v>
      </c>
      <c r="L991" s="66" t="str">
        <f t="shared" ca="1" si="77"/>
        <v>Sin costo</v>
      </c>
      <c r="M991" t="s">
        <v>64</v>
      </c>
      <c r="N991" t="s">
        <v>66</v>
      </c>
      <c r="O991" t="s">
        <v>66</v>
      </c>
      <c r="P991" t="s">
        <v>66</v>
      </c>
      <c r="R991" t="s">
        <v>66</v>
      </c>
      <c r="U991" t="s">
        <v>90</v>
      </c>
      <c r="V991" t="s">
        <v>66</v>
      </c>
      <c r="W991" t="s">
        <v>66</v>
      </c>
      <c r="X991" t="s">
        <v>66</v>
      </c>
      <c r="Y991" t="s">
        <v>66</v>
      </c>
      <c r="Z991" s="99" t="str">
        <f t="shared" ca="1" si="78"/>
        <v/>
      </c>
      <c r="AA991" s="101" t="str">
        <f t="shared" ca="1" si="79"/>
        <v/>
      </c>
    </row>
    <row r="992" spans="2:27" ht="27.6" customHeight="1">
      <c r="B992">
        <f t="shared" ca="1" si="75"/>
        <v>0</v>
      </c>
      <c r="C992" t="s">
        <v>36</v>
      </c>
      <c r="G992" s="75">
        <v>1</v>
      </c>
      <c r="J992" s="66" t="str">
        <f t="shared" ca="1" si="76"/>
        <v>14%</v>
      </c>
      <c r="K992" t="s">
        <v>59</v>
      </c>
      <c r="L992" s="66" t="str">
        <f t="shared" ca="1" si="77"/>
        <v>Sin costo</v>
      </c>
      <c r="M992" t="s">
        <v>64</v>
      </c>
      <c r="N992" t="s">
        <v>66</v>
      </c>
      <c r="O992" t="s">
        <v>66</v>
      </c>
      <c r="P992" t="s">
        <v>66</v>
      </c>
      <c r="R992" t="s">
        <v>66</v>
      </c>
      <c r="U992" t="s">
        <v>90</v>
      </c>
      <c r="V992" t="s">
        <v>66</v>
      </c>
      <c r="W992" t="s">
        <v>66</v>
      </c>
      <c r="X992" t="s">
        <v>66</v>
      </c>
      <c r="Y992" t="s">
        <v>66</v>
      </c>
      <c r="Z992" s="99" t="str">
        <f t="shared" ca="1" si="78"/>
        <v/>
      </c>
      <c r="AA992" s="101" t="str">
        <f t="shared" ca="1" si="79"/>
        <v/>
      </c>
    </row>
    <row r="993" spans="2:27" ht="27.6" customHeight="1">
      <c r="B993">
        <f t="shared" ca="1" si="75"/>
        <v>0</v>
      </c>
      <c r="C993" t="s">
        <v>36</v>
      </c>
      <c r="G993" s="75">
        <v>1</v>
      </c>
      <c r="J993" s="66" t="str">
        <f t="shared" ca="1" si="76"/>
        <v>14%</v>
      </c>
      <c r="K993" t="s">
        <v>59</v>
      </c>
      <c r="L993" s="66" t="str">
        <f t="shared" ca="1" si="77"/>
        <v>Sin costo</v>
      </c>
      <c r="M993" t="s">
        <v>64</v>
      </c>
      <c r="N993" t="s">
        <v>66</v>
      </c>
      <c r="O993" t="s">
        <v>66</v>
      </c>
      <c r="P993" t="s">
        <v>66</v>
      </c>
      <c r="R993" t="s">
        <v>66</v>
      </c>
      <c r="U993" t="s">
        <v>90</v>
      </c>
      <c r="V993" t="s">
        <v>66</v>
      </c>
      <c r="W993" t="s">
        <v>66</v>
      </c>
      <c r="X993" t="s">
        <v>66</v>
      </c>
      <c r="Y993" t="s">
        <v>66</v>
      </c>
      <c r="Z993" s="99" t="str">
        <f t="shared" ca="1" si="78"/>
        <v/>
      </c>
      <c r="AA993" s="101" t="str">
        <f t="shared" ca="1" si="79"/>
        <v/>
      </c>
    </row>
    <row r="994" spans="2:27" ht="27.6" customHeight="1">
      <c r="B994">
        <f t="shared" ca="1" si="75"/>
        <v>0</v>
      </c>
      <c r="C994" t="s">
        <v>36</v>
      </c>
      <c r="G994" s="75">
        <v>1</v>
      </c>
      <c r="J994" s="66" t="str">
        <f t="shared" ca="1" si="76"/>
        <v>14%</v>
      </c>
      <c r="K994" t="s">
        <v>59</v>
      </c>
      <c r="L994" s="66" t="str">
        <f t="shared" ca="1" si="77"/>
        <v>Sin costo</v>
      </c>
      <c r="M994" t="s">
        <v>64</v>
      </c>
      <c r="N994" t="s">
        <v>66</v>
      </c>
      <c r="O994" t="s">
        <v>66</v>
      </c>
      <c r="P994" t="s">
        <v>66</v>
      </c>
      <c r="R994" t="s">
        <v>66</v>
      </c>
      <c r="U994" t="s">
        <v>90</v>
      </c>
      <c r="V994" t="s">
        <v>66</v>
      </c>
      <c r="W994" t="s">
        <v>66</v>
      </c>
      <c r="X994" t="s">
        <v>66</v>
      </c>
      <c r="Y994" t="s">
        <v>66</v>
      </c>
      <c r="Z994" s="99" t="str">
        <f t="shared" ca="1" si="78"/>
        <v/>
      </c>
      <c r="AA994" s="101" t="str">
        <f t="shared" ca="1" si="79"/>
        <v/>
      </c>
    </row>
    <row r="995" spans="2:27" ht="27.6" customHeight="1">
      <c r="B995">
        <f t="shared" ca="1" si="75"/>
        <v>0</v>
      </c>
      <c r="C995" t="s">
        <v>36</v>
      </c>
      <c r="G995" s="75">
        <v>1</v>
      </c>
      <c r="J995" s="66" t="str">
        <f t="shared" ca="1" si="76"/>
        <v>14%</v>
      </c>
      <c r="K995" t="s">
        <v>59</v>
      </c>
      <c r="L995" s="66" t="str">
        <f t="shared" ca="1" si="77"/>
        <v>Sin costo</v>
      </c>
      <c r="M995" t="s">
        <v>64</v>
      </c>
      <c r="N995" t="s">
        <v>66</v>
      </c>
      <c r="O995" t="s">
        <v>66</v>
      </c>
      <c r="P995" t="s">
        <v>66</v>
      </c>
      <c r="R995" t="s">
        <v>66</v>
      </c>
      <c r="U995" t="s">
        <v>90</v>
      </c>
      <c r="V995" t="s">
        <v>66</v>
      </c>
      <c r="W995" t="s">
        <v>66</v>
      </c>
      <c r="X995" t="s">
        <v>66</v>
      </c>
      <c r="Y995" t="s">
        <v>66</v>
      </c>
      <c r="Z995" s="99" t="str">
        <f t="shared" ca="1" si="78"/>
        <v/>
      </c>
      <c r="AA995" s="101" t="str">
        <f t="shared" ca="1" si="79"/>
        <v/>
      </c>
    </row>
    <row r="996" spans="2:27" ht="27.6" customHeight="1">
      <c r="B996">
        <f t="shared" ca="1" si="75"/>
        <v>0</v>
      </c>
      <c r="C996" t="s">
        <v>36</v>
      </c>
      <c r="G996" s="75">
        <v>1</v>
      </c>
      <c r="J996" s="66" t="str">
        <f t="shared" ca="1" si="76"/>
        <v>14%</v>
      </c>
      <c r="K996" t="s">
        <v>59</v>
      </c>
      <c r="L996" s="66" t="str">
        <f t="shared" ca="1" si="77"/>
        <v>Sin costo</v>
      </c>
      <c r="M996" t="s">
        <v>64</v>
      </c>
      <c r="N996" t="s">
        <v>66</v>
      </c>
      <c r="O996" t="s">
        <v>66</v>
      </c>
      <c r="P996" t="s">
        <v>66</v>
      </c>
      <c r="R996" t="s">
        <v>66</v>
      </c>
      <c r="U996" t="s">
        <v>90</v>
      </c>
      <c r="V996" t="s">
        <v>66</v>
      </c>
      <c r="W996" t="s">
        <v>66</v>
      </c>
      <c r="X996" t="s">
        <v>66</v>
      </c>
      <c r="Y996" t="s">
        <v>66</v>
      </c>
      <c r="Z996" s="99" t="str">
        <f t="shared" ca="1" si="78"/>
        <v/>
      </c>
      <c r="AA996" s="101" t="str">
        <f t="shared" ca="1" si="79"/>
        <v/>
      </c>
    </row>
    <row r="997" spans="2:27" ht="27.6" customHeight="1">
      <c r="B997">
        <f t="shared" ca="1" si="75"/>
        <v>0</v>
      </c>
      <c r="C997" t="s">
        <v>36</v>
      </c>
      <c r="G997" s="75">
        <v>1</v>
      </c>
      <c r="J997" s="66" t="str">
        <f t="shared" ca="1" si="76"/>
        <v>14%</v>
      </c>
      <c r="K997" t="s">
        <v>59</v>
      </c>
      <c r="L997" s="66" t="str">
        <f t="shared" ca="1" si="77"/>
        <v>Sin costo</v>
      </c>
      <c r="M997" t="s">
        <v>64</v>
      </c>
      <c r="N997" t="s">
        <v>66</v>
      </c>
      <c r="O997" t="s">
        <v>66</v>
      </c>
      <c r="P997" t="s">
        <v>66</v>
      </c>
      <c r="R997" t="s">
        <v>66</v>
      </c>
      <c r="U997" t="s">
        <v>90</v>
      </c>
      <c r="V997" t="s">
        <v>66</v>
      </c>
      <c r="W997" t="s">
        <v>66</v>
      </c>
      <c r="X997" t="s">
        <v>66</v>
      </c>
      <c r="Y997" t="s">
        <v>66</v>
      </c>
      <c r="Z997" s="99" t="str">
        <f t="shared" ca="1" si="78"/>
        <v/>
      </c>
      <c r="AA997" s="101" t="str">
        <f t="shared" ca="1" si="79"/>
        <v/>
      </c>
    </row>
    <row r="998" spans="2:27" ht="27.6" customHeight="1">
      <c r="B998">
        <f t="shared" ca="1" si="75"/>
        <v>0</v>
      </c>
      <c r="C998" t="s">
        <v>36</v>
      </c>
      <c r="G998" s="75">
        <v>1</v>
      </c>
      <c r="J998" s="66" t="str">
        <f t="shared" ca="1" si="76"/>
        <v>14%</v>
      </c>
      <c r="K998" t="s">
        <v>59</v>
      </c>
      <c r="L998" s="66" t="str">
        <f t="shared" ca="1" si="77"/>
        <v>Sin costo</v>
      </c>
      <c r="M998" t="s">
        <v>64</v>
      </c>
      <c r="N998" t="s">
        <v>66</v>
      </c>
      <c r="O998" t="s">
        <v>66</v>
      </c>
      <c r="P998" t="s">
        <v>66</v>
      </c>
      <c r="R998" t="s">
        <v>66</v>
      </c>
      <c r="U998" t="s">
        <v>90</v>
      </c>
      <c r="V998" t="s">
        <v>66</v>
      </c>
      <c r="W998" t="s">
        <v>66</v>
      </c>
      <c r="X998" t="s">
        <v>66</v>
      </c>
      <c r="Y998" t="s">
        <v>66</v>
      </c>
      <c r="Z998" s="99" t="str">
        <f t="shared" ca="1" si="78"/>
        <v/>
      </c>
      <c r="AA998" s="101" t="str">
        <f t="shared" ca="1" si="79"/>
        <v/>
      </c>
    </row>
    <row r="999" spans="2:27" ht="27.6" customHeight="1">
      <c r="B999">
        <f t="shared" ca="1" si="75"/>
        <v>0</v>
      </c>
      <c r="C999" t="s">
        <v>36</v>
      </c>
      <c r="G999" s="75">
        <v>1</v>
      </c>
      <c r="J999" s="66" t="str">
        <f t="shared" ca="1" si="76"/>
        <v>14%</v>
      </c>
      <c r="K999" t="s">
        <v>59</v>
      </c>
      <c r="L999" s="66" t="str">
        <f t="shared" ca="1" si="77"/>
        <v>Sin costo</v>
      </c>
      <c r="M999" t="s">
        <v>64</v>
      </c>
      <c r="N999" t="s">
        <v>66</v>
      </c>
      <c r="O999" t="s">
        <v>66</v>
      </c>
      <c r="P999" t="s">
        <v>66</v>
      </c>
      <c r="R999" t="s">
        <v>66</v>
      </c>
      <c r="U999" t="s">
        <v>90</v>
      </c>
      <c r="V999" t="s">
        <v>66</v>
      </c>
      <c r="W999" t="s">
        <v>66</v>
      </c>
      <c r="X999" t="s">
        <v>66</v>
      </c>
      <c r="Y999" t="s">
        <v>66</v>
      </c>
      <c r="Z999" s="99" t="str">
        <f t="shared" ca="1" si="78"/>
        <v/>
      </c>
      <c r="AA999" s="101" t="str">
        <f t="shared" ca="1" si="79"/>
        <v/>
      </c>
    </row>
    <row r="1000" spans="2:27" ht="27.6" customHeight="1">
      <c r="B1000">
        <f t="shared" ca="1" si="75"/>
        <v>0</v>
      </c>
      <c r="C1000" t="s">
        <v>36</v>
      </c>
      <c r="G1000" s="75">
        <v>1</v>
      </c>
      <c r="J1000" s="66" t="str">
        <f t="shared" ca="1" si="76"/>
        <v>14%</v>
      </c>
      <c r="K1000" t="s">
        <v>59</v>
      </c>
      <c r="L1000" s="66" t="str">
        <f t="shared" ca="1" si="77"/>
        <v>Sin costo</v>
      </c>
      <c r="M1000" t="s">
        <v>64</v>
      </c>
      <c r="N1000" t="s">
        <v>66</v>
      </c>
      <c r="O1000" t="s">
        <v>66</v>
      </c>
      <c r="P1000" t="s">
        <v>66</v>
      </c>
      <c r="R1000" t="s">
        <v>66</v>
      </c>
      <c r="U1000" t="s">
        <v>90</v>
      </c>
      <c r="V1000" t="s">
        <v>66</v>
      </c>
      <c r="W1000" t="s">
        <v>66</v>
      </c>
      <c r="X1000" t="s">
        <v>66</v>
      </c>
      <c r="Y1000" t="s">
        <v>66</v>
      </c>
      <c r="Z1000" s="99" t="str">
        <f t="shared" ca="1" si="78"/>
        <v/>
      </c>
      <c r="AA1000" s="101" t="str">
        <f t="shared" ca="1" si="79"/>
        <v/>
      </c>
    </row>
    <row r="1001" spans="2:27" ht="27.6" customHeight="1">
      <c r="B1001">
        <f t="shared" ca="1" si="75"/>
        <v>0</v>
      </c>
      <c r="C1001" t="s">
        <v>36</v>
      </c>
      <c r="G1001" s="75">
        <v>1</v>
      </c>
      <c r="J1001" s="66" t="str">
        <f t="shared" ca="1" si="76"/>
        <v>14%</v>
      </c>
      <c r="K1001" t="s">
        <v>59</v>
      </c>
      <c r="L1001" s="66" t="str">
        <f t="shared" ca="1" si="77"/>
        <v>Sin costo</v>
      </c>
      <c r="M1001" t="s">
        <v>64</v>
      </c>
      <c r="N1001" t="s">
        <v>66</v>
      </c>
      <c r="O1001" t="s">
        <v>66</v>
      </c>
      <c r="P1001" t="s">
        <v>66</v>
      </c>
      <c r="R1001" t="s">
        <v>66</v>
      </c>
      <c r="U1001" t="s">
        <v>90</v>
      </c>
      <c r="V1001" t="s">
        <v>66</v>
      </c>
      <c r="W1001" t="s">
        <v>66</v>
      </c>
      <c r="X1001" t="s">
        <v>66</v>
      </c>
      <c r="Y1001" t="s">
        <v>66</v>
      </c>
      <c r="Z1001" s="99" t="str">
        <f t="shared" ca="1" si="78"/>
        <v/>
      </c>
      <c r="AA1001" s="101" t="str">
        <f t="shared" ca="1" si="79"/>
        <v/>
      </c>
    </row>
  </sheetData>
  <mergeCells count="9">
    <mergeCell ref="J1:R2"/>
    <mergeCell ref="S1:Y2"/>
    <mergeCell ref="Z1:Z2"/>
    <mergeCell ref="AA1:AB2"/>
    <mergeCell ref="A1:C1"/>
    <mergeCell ref="A2:C2"/>
    <mergeCell ref="A5:B5"/>
    <mergeCell ref="D1:G2"/>
    <mergeCell ref="H1:I2"/>
  </mergeCells>
  <conditionalFormatting sqref="A7:A1001">
    <cfRule type="expression" dxfId="39" priority="8">
      <formula>LEN(INDIRECT(ADDRESS(ROW(),COLUMN()))) &gt; 60</formula>
    </cfRule>
  </conditionalFormatting>
  <conditionalFormatting sqref="B7:B1001">
    <cfRule type="expression" dxfId="38" priority="9">
      <formula>LEN(INDIRECT(ADDRESS(ROW() + (0),COLUMN() + (-1)))) &gt; 60</formula>
    </cfRule>
  </conditionalFormatting>
  <conditionalFormatting sqref="C7:C1001">
    <cfRule type="expression" dxfId="37" priority="10">
      <formula>LEN(INDIRECT(ADDRESS(ROW(),COLUMN()))) &lt; 1</formula>
    </cfRule>
  </conditionalFormatting>
  <conditionalFormatting sqref="E7:E1001">
    <cfRule type="expression" dxfId="36" priority="11">
      <formula>AND(TRIM($AA7) &lt;&gt; "",OR(TRIM($E7) = "",$E7 = ""))</formula>
    </cfRule>
  </conditionalFormatting>
  <conditionalFormatting sqref="H7:H1001">
    <cfRule type="expression" dxfId="35" priority="12">
      <formula>AND(TRIM($AA7) &lt;&gt; "",OR(TRIM($H7) = "",$H7 = "",$H7 &lt; 1000,ISTEXT($H7)))</formula>
    </cfRule>
  </conditionalFormatting>
  <conditionalFormatting sqref="J7:J1001">
    <cfRule type="expression" dxfId="34" priority="13">
      <formula>TRUE</formula>
    </cfRule>
  </conditionalFormatting>
  <conditionalFormatting sqref="L7:L1001">
    <cfRule type="expression" dxfId="33" priority="14">
      <formula>TRUE</formula>
    </cfRule>
  </conditionalFormatting>
  <conditionalFormatting sqref="M7:M1001">
    <cfRule type="expression" dxfId="32" priority="15">
      <formula>AND(TRIM($AA7) &lt;&gt; "",OR(TRIM($M7) = "",$M7 = "Seleccionar"))</formula>
    </cfRule>
  </conditionalFormatting>
  <conditionalFormatting sqref="N7:N10001">
    <cfRule type="cellIs" dxfId="31" priority="16" operator="equal">
      <formula>"Seleccionar"</formula>
    </cfRule>
  </conditionalFormatting>
  <conditionalFormatting sqref="N7:N1001">
    <cfRule type="expression" dxfId="30" priority="17">
      <formula>AND(TRIM($AA7) &lt;&gt; "",OR(TRIM($N7) = "",$N7 = "Seleccionar"))</formula>
    </cfRule>
  </conditionalFormatting>
  <conditionalFormatting sqref="O7:O10001">
    <cfRule type="cellIs" dxfId="29" priority="18" operator="equal">
      <formula>"Seleccionar"</formula>
    </cfRule>
  </conditionalFormatting>
  <conditionalFormatting sqref="O7:O1001">
    <cfRule type="expression" dxfId="28" priority="19">
      <formula>AND(TRIM($AA7) &lt;&gt; "",OR(TRIM($O7) = "",$O7 = "Seleccionar"))</formula>
    </cfRule>
  </conditionalFormatting>
  <conditionalFormatting sqref="P7:P10001">
    <cfRule type="cellIs" dxfId="27" priority="20" operator="equal">
      <formula>"Seleccionar"</formula>
    </cfRule>
  </conditionalFormatting>
  <conditionalFormatting sqref="Q7:Q1001">
    <cfRule type="expression" dxfId="26" priority="21">
      <formula>ISTEXT(INDIRECT(ADDRESS(ROW(),COLUMN())))</formula>
    </cfRule>
  </conditionalFormatting>
  <conditionalFormatting sqref="R7:R10001">
    <cfRule type="cellIs" dxfId="25" priority="22" operator="equal">
      <formula>"Seleccionar"</formula>
    </cfRule>
  </conditionalFormatting>
  <conditionalFormatting sqref="S9:S1001">
    <cfRule type="expression" dxfId="24" priority="23">
      <formula>AND(TRIM($AA9) &lt;&gt; "",OR(TRIM($S9) = "",$S9 = "Escribí o elegí un valor"))</formula>
    </cfRule>
  </conditionalFormatting>
  <conditionalFormatting sqref="T7:T1001">
    <cfRule type="expression" dxfId="23" priority="24">
      <formula>AND(TRIM($AA7) &lt;&gt; "",OR(TRIM($T7) = "",$T7 = "Escribí o elegí un valor"))</formula>
    </cfRule>
  </conditionalFormatting>
  <conditionalFormatting sqref="U7:U10001">
    <cfRule type="cellIs" dxfId="22" priority="25" operator="equal">
      <formula>"Escribí o elegí un valor"</formula>
    </cfRule>
  </conditionalFormatting>
  <conditionalFormatting sqref="V7:V10001">
    <cfRule type="cellIs" dxfId="21" priority="26" operator="equal">
      <formula>"Seleccionar"</formula>
    </cfRule>
  </conditionalFormatting>
  <conditionalFormatting sqref="W9:W10001">
    <cfRule type="cellIs" dxfId="20" priority="27" operator="equal">
      <formula>"Seleccionar"</formula>
    </cfRule>
  </conditionalFormatting>
  <conditionalFormatting sqref="X9:X10001">
    <cfRule type="cellIs" dxfId="19" priority="28" operator="equal">
      <formula>"Seleccionar"</formula>
    </cfRule>
  </conditionalFormatting>
  <conditionalFormatting sqref="Y9:Y10001">
    <cfRule type="cellIs" dxfId="18" priority="29" operator="equal">
      <formula>"Seleccionar"</formula>
    </cfRule>
  </conditionalFormatting>
  <conditionalFormatting sqref="Z7:Z1001">
    <cfRule type="expression" dxfId="17" priority="30">
      <formula>TRIM($Z7) &lt;&gt; ""</formula>
    </cfRule>
  </conditionalFormatting>
  <conditionalFormatting sqref="S8">
    <cfRule type="expression" dxfId="16" priority="36">
      <formula>AND(TRIM($AA7) &lt;&gt; "",OR(TRIM($S8) = "",$S8 = "Escribí o elegí un valor"))</formula>
    </cfRule>
  </conditionalFormatting>
  <conditionalFormatting sqref="S7">
    <cfRule type="expression" dxfId="15" priority="7">
      <formula>AND(TRIM($AA6) &lt;&gt; "",OR(TRIM($S7) = "",$S7 = "Escribí o elegí un valor"))</formula>
    </cfRule>
  </conditionalFormatting>
  <conditionalFormatting sqref="W7">
    <cfRule type="cellIs" dxfId="12" priority="6" operator="equal">
      <formula>"Seleccionar"</formula>
    </cfRule>
  </conditionalFormatting>
  <conditionalFormatting sqref="W8">
    <cfRule type="cellIs" dxfId="10" priority="5" operator="equal">
      <formula>"Seleccionar"</formula>
    </cfRule>
  </conditionalFormatting>
  <conditionalFormatting sqref="X7">
    <cfRule type="cellIs" dxfId="8" priority="4" operator="equal">
      <formula>"Seleccionar"</formula>
    </cfRule>
  </conditionalFormatting>
  <conditionalFormatting sqref="X8">
    <cfRule type="cellIs" dxfId="6" priority="3" operator="equal">
      <formula>"Seleccionar"</formula>
    </cfRule>
  </conditionalFormatting>
  <conditionalFormatting sqref="Y7">
    <cfRule type="cellIs" dxfId="4" priority="2" operator="equal">
      <formula>"Seleccionar"</formula>
    </cfRule>
  </conditionalFormatting>
  <conditionalFormatting sqref="Y8">
    <cfRule type="cellIs" dxfId="1" priority="1" operator="equal">
      <formula>"Seleccionar"</formula>
    </cfRule>
  </conditionalFormatting>
  <dataValidations count="5">
    <dataValidation type="textLength" operator="lessThanOrEqual" allowBlank="1" showInputMessage="1" sqref="D7:D10001 S7:T10001 F7:F10001">
      <formula1>255</formula1>
    </dataValidation>
    <dataValidation type="decimal" allowBlank="1" showInputMessage="1" sqref="G7:G10001">
      <formula1>0</formula1>
      <formula2>99999</formula2>
    </dataValidation>
    <dataValidation type="decimal" operator="greaterThan" allowBlank="1" showInputMessage="1" sqref="H7:H10001">
      <formula1>0</formula1>
    </dataValidation>
    <dataValidation type="textLength" operator="lessThanOrEqual" allowBlank="1" showInputMessage="1" sqref="I7:I10001">
      <formula1>50000</formula1>
    </dataValidation>
    <dataValidation type="decimal" allowBlank="1" showInputMessage="1" sqref="Q7:Q10001">
      <formula1>-2147483648</formula1>
      <formula2>2147483647</formula2>
    </dataValidation>
  </dataValidations>
  <hyperlinks>
    <hyperlink ref="C6" r:id="rId1"/>
    <hyperlink ref="D6" r:id="rId2"/>
    <hyperlink ref="E6" r:id="rId3"/>
    <hyperlink ref="N6" r:id="rId4"/>
    <hyperlink ref="Z6" r:id="rId5"/>
  </hyperlinks>
  <pageMargins left="0.7" right="0.7" top="0.75" bottom="0.75" header="0.3" footer="0.3"/>
  <ignoredErrors>
    <ignoredError sqref="A9:A10001 B7:B10001 C9:C10001 D7:D10001 E9:E10001 F7:F10001 I9:I10001 J7:J10001 K7:K10001 L7:L10001 M7:M10001 N9:N10001 O9:O10001 P9:P10001 R9:R10001 S9:S10001 T9:T10001 U7:U10001 V9:V10001 W9:W10001 X9:X10001 Y9:Y10001 Z7:Z10001 AA7:AA10001 AB7:AB10001" numberStoredAsText="1"/>
  </ignoredErrors>
  <extLst>
    <ext xmlns:x14="http://schemas.microsoft.com/office/spreadsheetml/2009/9/main" uri="{CCE6A557-97BC-4b89-ADB6-D9C93CAAB3DF}">
      <x14:dataValidations xmlns:xm="http://schemas.microsoft.com/office/excel/2006/main" count="12">
        <x14:dataValidation type="list" allowBlank="1" showInputMessage="1" showErrorMessage="1">
          <x14:formula1>
            <xm:f>'extra info'!$A$2:$A$2</xm:f>
          </x14:formula1>
          <xm:sqref>C7:C10001</xm:sqref>
        </x14:dataValidation>
        <x14:dataValidation type="list" allowBlank="1" showInputMessage="1" showErrorMessage="1">
          <x14:formula1>
            <xm:f>'extra info'!$A$3:$B$3</xm:f>
          </x14:formula1>
          <xm:sqref>K7:K10001</xm:sqref>
        </x14:dataValidation>
        <x14:dataValidation type="list" allowBlank="1" showInputMessage="1" showErrorMessage="1">
          <x14:formula1>
            <xm:f>'extra info'!$A$4:$A$4</xm:f>
          </x14:formula1>
          <xm:sqref>M7:M10001</xm:sqref>
        </x14:dataValidation>
        <x14:dataValidation type="list" allowBlank="1" showInputMessage="1" showErrorMessage="1">
          <x14:formula1>
            <xm:f>'extra info'!$A$5:$C$5</xm:f>
          </x14:formula1>
          <xm:sqref>N7:N10001</xm:sqref>
        </x14:dataValidation>
        <x14:dataValidation type="list" allowBlank="1" showInputMessage="1" showErrorMessage="1">
          <x14:formula1>
            <xm:f>'extra info'!$A$6:$C$6</xm:f>
          </x14:formula1>
          <xm:sqref>O7:O10001</xm:sqref>
        </x14:dataValidation>
        <x14:dataValidation type="list" allowBlank="1" showInputMessage="1" showErrorMessage="1">
          <x14:formula1>
            <xm:f>'extra info'!$A$7:$D$7</xm:f>
          </x14:formula1>
          <xm:sqref>P7:P10001</xm:sqref>
        </x14:dataValidation>
        <x14:dataValidation type="list" allowBlank="1" showInputMessage="1" showErrorMessage="1">
          <x14:formula1>
            <xm:f>'extra info'!$A$8:$D$8</xm:f>
          </x14:formula1>
          <xm:sqref>R7:R10001</xm:sqref>
        </x14:dataValidation>
        <x14:dataValidation type="list" allowBlank="1" showInputMessage="1">
          <x14:formula1>
            <xm:f>'extra info'!$A$9:$I$9</xm:f>
          </x14:formula1>
          <xm:sqref>U7:U10001</xm:sqref>
        </x14:dataValidation>
        <x14:dataValidation type="list" allowBlank="1" showInputMessage="1" showErrorMessage="1">
          <x14:formula1>
            <xm:f>'extra info'!$A$10:$C$10</xm:f>
          </x14:formula1>
          <xm:sqref>V7:V10001 W7:Y8</xm:sqref>
        </x14:dataValidation>
        <x14:dataValidation type="list" allowBlank="1" showInputMessage="1" showErrorMessage="1">
          <x14:formula1>
            <xm:f>'extra info'!$A$11:$C$11</xm:f>
          </x14:formula1>
          <xm:sqref>W9:W10001</xm:sqref>
        </x14:dataValidation>
        <x14:dataValidation type="list" allowBlank="1" showInputMessage="1" showErrorMessage="1">
          <x14:formula1>
            <xm:f>'extra info'!$A$12:$C$12</xm:f>
          </x14:formula1>
          <xm:sqref>X9:X10001</xm:sqref>
        </x14:dataValidation>
        <x14:dataValidation type="list" allowBlank="1" showInputMessage="1" showErrorMessage="1">
          <x14:formula1>
            <xm:f>'extra info'!$A$13:$C$13</xm:f>
          </x14:formula1>
          <xm:sqref>Y9:Y10001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Ayuda</vt:lpstr>
      <vt:lpstr>Bombas de Aceite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karp</cp:lastModifiedBy>
  <dcterms:created xsi:type="dcterms:W3CDTF">2021-12-28T15:23:56Z</dcterms:created>
  <dcterms:modified xsi:type="dcterms:W3CDTF">2025-11-20T20:01:51Z</dcterms:modified>
</cp:coreProperties>
</file>